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404"/>
  <workbookPr defaultThemeVersion="124226"/>
  <mc:AlternateContent xmlns:mc="http://schemas.openxmlformats.org/markup-compatibility/2006">
    <mc:Choice Requires="x15">
      <x15ac:absPath xmlns:x15ac="http://schemas.microsoft.com/office/spreadsheetml/2010/11/ac" url="/Users/isaac/Documents/RProjects/s2p_data_analyses/"/>
    </mc:Choice>
  </mc:AlternateContent>
  <xr:revisionPtr revIDLastSave="0" documentId="13_ncr:1_{0F1A919B-18A6-4948-AF7C-998DD620C9BF}" xr6:coauthVersionLast="47" xr6:coauthVersionMax="47" xr10:uidLastSave="{00000000-0000-0000-0000-000000000000}"/>
  <bookViews>
    <workbookView xWindow="0" yWindow="1520" windowWidth="28800" windowHeight="17500" xr2:uid="{00000000-000D-0000-FFFF-FFFF00000000}"/>
  </bookViews>
  <sheets>
    <sheet name="Table" sheetId="4" r:id="rId1"/>
    <sheet name="Graph" sheetId="3" r:id="rId2"/>
    <sheet name="projection_data" sheetId="6" state="hidden"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5" i="4" l="1"/>
  <c r="K8" i="4" s="1"/>
  <c r="E8" i="4" s="1"/>
  <c r="E7" i="4" s="1"/>
  <c r="Q8" i="4"/>
  <c r="O8" i="4" s="1"/>
  <c r="Q7" i="4"/>
  <c r="Q6" i="4"/>
  <c r="Q5" i="4"/>
  <c r="Q4" i="4"/>
  <c r="K7" i="4"/>
  <c r="K6" i="4"/>
  <c r="K5" i="4"/>
  <c r="K4" i="4"/>
  <c r="I24" i="4"/>
  <c r="M24" i="4"/>
  <c r="L24" i="4"/>
  <c r="K24" i="4"/>
  <c r="J24" i="4"/>
  <c r="F8" i="4"/>
  <c r="H8" i="4" s="1"/>
  <c r="P8" i="4" l="1"/>
  <c r="G8" i="4"/>
  <c r="G7" i="4" s="1"/>
  <c r="C8" i="4"/>
  <c r="C7" i="4" s="1"/>
  <c r="D8" i="4"/>
  <c r="D7" i="4" s="1"/>
  <c r="J8" i="4"/>
  <c r="A25" i="4"/>
  <c r="A24" i="4"/>
  <c r="D13" i="6" a="1"/>
  <c r="D13" i="6" s="1"/>
  <c r="F13" i="6" a="1"/>
  <c r="F13" i="6" s="1"/>
  <c r="B13" i="6" a="1"/>
  <c r="B13" i="6" s="1"/>
  <c r="B14" i="6" s="1"/>
  <c r="L8" i="4" l="1"/>
  <c r="M8" i="4" s="1"/>
  <c r="N8" i="4" s="1"/>
  <c r="C13" i="6"/>
  <c r="D14" i="6"/>
  <c r="B15" i="6"/>
  <c r="B16" i="6" s="1"/>
  <c r="B17" i="6" s="1"/>
  <c r="F7" i="4"/>
  <c r="J7" i="4" s="1"/>
  <c r="Q11" i="3" l="1"/>
  <c r="Q12" i="3"/>
  <c r="Q13" i="3"/>
  <c r="P24" i="3" a="1"/>
  <c r="P24" i="3" s="1"/>
  <c r="Q6" i="3"/>
  <c r="Q8" i="3"/>
  <c r="Q7" i="3"/>
  <c r="F14" i="6" l="1"/>
  <c r="C14" i="6" s="1"/>
  <c r="F15" i="6" l="1"/>
  <c r="F16" i="6" s="1"/>
  <c r="F17" i="6" s="1"/>
  <c r="O7" i="4"/>
  <c r="R24" i="3" l="1" a="1"/>
  <c r="R24" i="3" s="1"/>
  <c r="D15" i="6"/>
  <c r="C15" i="6" s="1"/>
  <c r="L7" i="4"/>
  <c r="P7" i="4"/>
  <c r="O6" i="4"/>
  <c r="D16" i="6" l="1"/>
  <c r="D17" i="6" s="1"/>
  <c r="C17" i="6" s="1"/>
  <c r="O5" i="4"/>
  <c r="O4" i="4" s="1"/>
  <c r="P6" i="4"/>
  <c r="M7" i="4"/>
  <c r="N7" i="4" s="1"/>
  <c r="P4" i="4" l="1"/>
  <c r="C16" i="6"/>
  <c r="S24" i="3" s="1" a="1"/>
  <c r="S24" i="3" s="1"/>
  <c r="P5" i="4"/>
  <c r="Q24" i="3" a="1"/>
  <c r="Q24" i="3" s="1"/>
  <c r="D6" i="4" l="1"/>
  <c r="D5" i="4"/>
  <c r="D4" i="4" s="1"/>
  <c r="E6" i="4"/>
  <c r="E5" i="4" s="1"/>
  <c r="E4" i="4" s="1"/>
  <c r="G6" i="4"/>
  <c r="F6" i="4" s="1"/>
  <c r="J6" i="4" s="1"/>
  <c r="C6" i="4"/>
  <c r="C5" i="4" s="1"/>
  <c r="C4" i="4" s="1"/>
  <c r="L6" i="4" l="1"/>
  <c r="M6" i="4" s="1"/>
  <c r="N6" i="4" s="1"/>
  <c r="G5" i="4"/>
  <c r="F5" i="4" s="1"/>
  <c r="J5" i="4" s="1"/>
  <c r="G4" i="4" l="1"/>
  <c r="L5" i="4"/>
  <c r="M5" i="4" s="1"/>
  <c r="N5" i="4" s="1"/>
  <c r="L4" i="4" l="1"/>
  <c r="M4" i="4" s="1"/>
  <c r="N4" i="4" s="1"/>
  <c r="F4" i="4"/>
  <c r="J4"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<sst xmlns="http://schemas.openxmlformats.org/spreadsheetml/2006/main" count="138" uniqueCount="77">
  <si>
    <t>Fiscal Year</t>
  </si>
  <si>
    <t>Months Reported</t>
  </si>
  <si>
    <t>Enrollee Months Annual Change</t>
  </si>
  <si>
    <t>State Spending</t>
  </si>
  <si>
    <t>State Spending Annual Change %</t>
  </si>
  <si>
    <t>Average Annual Spending per Enrollee</t>
  </si>
  <si>
    <t>Average Annual Spending per Enrollee Annual Change</t>
  </si>
  <si>
    <t>Average Annual Spending per Enrollee Annual Change %</t>
  </si>
  <si>
    <t>Projections</t>
  </si>
  <si>
    <t>Actuals</t>
  </si>
  <si>
    <t>1 Year</t>
  </si>
  <si>
    <t>3 Year</t>
  </si>
  <si>
    <t>5 Year</t>
  </si>
  <si>
    <t>Average Annual Growth Rates</t>
  </si>
  <si>
    <t>Data  Type</t>
  </si>
  <si>
    <t>Actual</t>
  </si>
  <si>
    <t>Projected</t>
  </si>
  <si>
    <t>Growth Trends</t>
  </si>
  <si>
    <t>Per Capita Spending</t>
  </si>
  <si>
    <t>State Fiscal Year</t>
  </si>
  <si>
    <t>Average Annual Enrollment</t>
  </si>
  <si>
    <t>Enrollee Months % Growth</t>
  </si>
  <si>
    <t>Average Annual Per Capita Spending % Growth</t>
  </si>
  <si>
    <t>FY24</t>
  </si>
  <si>
    <t>FY23</t>
  </si>
  <si>
    <t>FY22</t>
  </si>
  <si>
    <t>FY21</t>
  </si>
  <si>
    <t>FY20</t>
  </si>
  <si>
    <t>FY19</t>
  </si>
  <si>
    <t>FY18</t>
  </si>
  <si>
    <t>FY17</t>
  </si>
  <si>
    <t>FY16</t>
  </si>
  <si>
    <t>FY15</t>
  </si>
  <si>
    <t>Average Annual Enrollment:</t>
  </si>
  <si>
    <t>Average Annual Per Capita Spending:</t>
  </si>
  <si>
    <t>State Spending (Millions)</t>
  </si>
  <si>
    <t>State Spending Annual Change (Millions)</t>
  </si>
  <si>
    <t>Average Annual Growth Rates (as of FY24)</t>
  </si>
  <si>
    <t>Average Annual Enrollment Change %</t>
  </si>
  <si>
    <t>Notes</t>
  </si>
  <si>
    <t>Definitions</t>
  </si>
  <si>
    <r>
      <rPr>
        <b/>
        <sz val="11"/>
        <color theme="1"/>
        <rFont val="Calibri"/>
        <family val="2"/>
        <scheme val="minor"/>
      </rPr>
      <t xml:space="preserve">State Fiscal Year: </t>
    </r>
    <r>
      <rPr>
        <sz val="11"/>
        <color theme="1"/>
        <rFont val="Calibri"/>
        <family val="2"/>
        <scheme val="minor"/>
      </rPr>
      <t>April through March</t>
    </r>
  </si>
  <si>
    <r>
      <rPr>
        <b/>
        <sz val="11"/>
        <color theme="1"/>
        <rFont val="Calibri"/>
        <family val="2"/>
        <scheme val="minor"/>
      </rPr>
      <t>Average Annual Enrollment:</t>
    </r>
    <r>
      <rPr>
        <sz val="11"/>
        <color theme="1"/>
        <rFont val="Calibri"/>
        <family val="2"/>
        <scheme val="minor"/>
      </rPr>
      <t xml:space="preserve"> The average number of enrollees per month over the fiscal year, calculated as total enrollee months divided by the number of months reported.</t>
    </r>
  </si>
  <si>
    <r>
      <rPr>
        <b/>
        <sz val="11"/>
        <color theme="1"/>
        <rFont val="Calibri"/>
        <family val="2"/>
        <scheme val="minor"/>
      </rPr>
      <t>Enrollee Months Annual Change:</t>
    </r>
    <r>
      <rPr>
        <sz val="11"/>
        <color theme="1"/>
        <rFont val="Calibri"/>
        <family val="2"/>
        <scheme val="minor"/>
      </rPr>
      <t xml:space="preserve"> The difference in the total number of enrollee months between the current fiscal year and the prior fiscal year.</t>
    </r>
  </si>
  <si>
    <r>
      <rPr>
        <b/>
        <sz val="11"/>
        <color theme="1"/>
        <rFont val="Calibri"/>
        <family val="2"/>
        <scheme val="minor"/>
      </rPr>
      <t>Enrollee Months % Growth:</t>
    </r>
    <r>
      <rPr>
        <sz val="11"/>
        <color theme="1"/>
        <rFont val="Calibri"/>
        <family val="2"/>
        <scheme val="minor"/>
      </rPr>
      <t xml:space="preserve"> The percentage increase or decrease in the total enrollee months compared to the prior fiscal year.</t>
    </r>
  </si>
  <si>
    <r>
      <rPr>
        <b/>
        <sz val="11"/>
        <color theme="1"/>
        <rFont val="Calibri"/>
        <family val="2"/>
        <scheme val="minor"/>
      </rPr>
      <t>Average Annual Spending per Enrollee Annual Change:</t>
    </r>
    <r>
      <rPr>
        <sz val="11"/>
        <color theme="1"/>
        <rFont val="Calibri"/>
        <family val="2"/>
        <scheme val="minor"/>
      </rPr>
      <t xml:space="preserve"> The year-over-year change in the average amount of State spending per enrollee, expressed in dollars.</t>
    </r>
  </si>
  <si>
    <r>
      <rPr>
        <b/>
        <sz val="11"/>
        <color theme="1"/>
        <rFont val="Calibri"/>
        <family val="2"/>
        <scheme val="minor"/>
      </rPr>
      <t>Average Annual Per Capita Spending % Growth:</t>
    </r>
    <r>
      <rPr>
        <sz val="11"/>
        <color theme="1"/>
        <rFont val="Calibri"/>
        <family val="2"/>
        <scheme val="minor"/>
      </rPr>
      <t xml:space="preserve"> The percentage growth in State Medicaid spending per-capita compared to the prior fiscal year.</t>
    </r>
  </si>
  <si>
    <t xml:space="preserve">End of Period Enrollment	</t>
  </si>
  <si>
    <t>Medicaid Managed Long Term Care Enrollment and Spending</t>
  </si>
  <si>
    <t>Total Medicaid Managed Long Term Care Enrollment</t>
  </si>
  <si>
    <r>
      <rPr>
        <b/>
        <sz val="11"/>
        <color theme="1"/>
        <rFont val="Calibri"/>
        <family val="2"/>
        <scheme val="minor"/>
      </rPr>
      <t>Enrollee Months:</t>
    </r>
    <r>
      <rPr>
        <sz val="11"/>
        <color theme="1"/>
        <rFont val="Calibri"/>
        <family val="2"/>
        <scheme val="minor"/>
      </rPr>
      <t xml:space="preserve"> The total number of Medicaid managed long term care enrollee months reported within the fiscal year.</t>
    </r>
  </si>
  <si>
    <r>
      <rPr>
        <b/>
        <sz val="11"/>
        <color theme="1"/>
        <rFont val="Calibri"/>
        <family val="2"/>
        <scheme val="minor"/>
      </rPr>
      <t>End of Period Enrollment:</t>
    </r>
    <r>
      <rPr>
        <sz val="11"/>
        <color theme="1"/>
        <rFont val="Calibri"/>
        <family val="2"/>
        <scheme val="minor"/>
      </rPr>
      <t xml:space="preserve"> The total number of Medicaid managed long term care enrollees at the end of the reporting period. For completed fiscal years, this represents the enrollment total on the final day of the year. For partial fiscal years, it reflects the year-to-date (YTD) enrollment total as of the most recent reporting date.</t>
    </r>
  </si>
  <si>
    <r>
      <rPr>
        <b/>
        <sz val="11"/>
        <color theme="1"/>
        <rFont val="Calibri"/>
        <family val="2"/>
        <scheme val="minor"/>
      </rPr>
      <t>State Spending (Millions):</t>
    </r>
    <r>
      <rPr>
        <sz val="11"/>
        <color theme="1"/>
        <rFont val="Calibri"/>
        <family val="2"/>
        <scheme val="minor"/>
      </rPr>
      <t xml:space="preserve"> The total Medicaid managed long term care expenditures by the State government, expressed in millions of dollars.</t>
    </r>
  </si>
  <si>
    <r>
      <rPr>
        <b/>
        <sz val="11"/>
        <color theme="1"/>
        <rFont val="Calibri"/>
        <family val="2"/>
        <scheme val="minor"/>
      </rPr>
      <t>State Spending Annual Change (Millions):</t>
    </r>
    <r>
      <rPr>
        <sz val="11"/>
        <color theme="1"/>
        <rFont val="Calibri"/>
        <family val="2"/>
        <scheme val="minor"/>
      </rPr>
      <t xml:space="preserve"> The year-over-year change in State spending on Medicaid managed long term care, expressed in millions of dollars.</t>
    </r>
  </si>
  <si>
    <r>
      <rPr>
        <b/>
        <sz val="11"/>
        <color theme="1"/>
        <rFont val="Calibri"/>
        <family val="2"/>
        <scheme val="minor"/>
      </rPr>
      <t>Average Annual Spending per Enrollee:</t>
    </r>
    <r>
      <rPr>
        <sz val="11"/>
        <color theme="1"/>
        <rFont val="Calibri"/>
        <family val="2"/>
        <scheme val="minor"/>
      </rPr>
      <t xml:space="preserve"> The average amount of Medicaid managed long term care State spending per enrollee for the fiscal year.</t>
    </r>
  </si>
  <si>
    <t>PACE
Enrollee Months</t>
  </si>
  <si>
    <t>MAP
Enrollee Months</t>
  </si>
  <si>
    <t>PARTIAL MLTC
Enrollee Months</t>
  </si>
  <si>
    <t>Total
Enrollee Months</t>
  </si>
  <si>
    <t>Per Capita Spending State Spending</t>
  </si>
  <si>
    <t>Per Capita State Spending</t>
  </si>
  <si>
    <t>Calculations</t>
  </si>
  <si>
    <r>
      <rPr>
        <b/>
        <sz val="11"/>
        <color theme="1"/>
        <rFont val="Calibri"/>
        <family val="2"/>
        <scheme val="minor"/>
      </rPr>
      <t>State Spending Annual Change %:</t>
    </r>
    <r>
      <rPr>
        <sz val="11"/>
        <color theme="1"/>
        <rFont val="Calibri"/>
        <family val="2"/>
        <scheme val="minor"/>
      </rPr>
      <t xml:space="preserve"> The percentage change in the State’s share of Medicaid managed long term care spending compared to the prior fiscal year.</t>
    </r>
  </si>
  <si>
    <t>NA</t>
  </si>
  <si>
    <t>FY27 (Forecast)</t>
  </si>
  <si>
    <t>FY28 (Forecast)</t>
  </si>
  <si>
    <t>FY29 (Forecast)</t>
  </si>
  <si>
    <t>You can forecast projected enrollment and State spending by changing the two inputs below:</t>
  </si>
  <si>
    <t>FY26 (YTD)</t>
  </si>
  <si>
    <t>FY25</t>
  </si>
  <si>
    <t>FY30 (Forecast)</t>
  </si>
  <si>
    <t>FY26 (Estimate)(1)(2)</t>
  </si>
  <si>
    <t>(1) Data sources: Full-year Enrollment 2026 Estimate Represents YTD annualized</t>
  </si>
  <si>
    <t>FY27-FY30 Growth Assumptions</t>
  </si>
  <si>
    <t>Enrollee Months Average Monthly % Growth</t>
  </si>
  <si>
    <t>You can forecast projected enrollment and State spending by changing the inputs below:</t>
  </si>
  <si>
    <r>
      <rPr>
        <b/>
        <sz val="11"/>
        <color theme="1"/>
        <rFont val="Calibri"/>
        <family val="2"/>
        <scheme val="minor"/>
      </rPr>
      <t>Enrollee Months Average Monthly % Growth:</t>
    </r>
    <r>
      <rPr>
        <sz val="11"/>
        <color theme="1"/>
        <rFont val="Calibri"/>
        <family val="2"/>
        <scheme val="minor"/>
      </rPr>
      <t xml:space="preserve"> For each row's respective fiscal year, this column calculates each month's enrollment delta percentage (i.e., </t>
    </r>
    <r>
      <rPr>
        <i/>
        <sz val="11"/>
        <color theme="1"/>
        <rFont val="Calibri"/>
        <family val="2"/>
        <scheme val="minor"/>
      </rPr>
      <t>[(that month's enrollment) - (previous month's enrollment)] / (previous month's enrollment))</t>
    </r>
    <r>
      <rPr>
        <sz val="11"/>
        <color theme="1"/>
        <rFont val="Calibri"/>
        <family val="2"/>
        <scheme val="minor"/>
      </rPr>
      <t xml:space="preserve"> and then reports the mean of those twelve percentages.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</si>
</sst>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6" formatCode="&quot;$&quot;#,##0_);[Red]\(&quot;$&quot;#,##0\)"/>
    <numFmt numFmtId="8" formatCode="&quot;$&quot;#,##0.00_);[Red]\(&quot;$&quot;#,##0.00\)"/>
    <numFmt numFmtId="44" formatCode="_(&quot;$&quot;* #,##0.00_);_(&quot;$&quot;* \(#,##0.00\);_(&quot;$&quot;* &quot;-&quot;??_);_(@_)"/>
    <numFmt numFmtId="164" formatCode="0.0%"/>
    <numFmt numFmtId="165" formatCode="_(* #,##0_);_(* \(#,##0\);_(* &quot;-&quot;??_);_(@_)"/>
    <numFmt numFmtId="166" formatCode="_(&quot;$&quot;* #,##0_);_(&quot;$&quot;* \(#,##0\);_(&quot;$&quot;* &quot;-&quot;??_);_(@_)"/>
    <numFmt numFmtId="167" formatCode="&quot;$&quot;#,##0,,_);[Red]\(&quot;$&quot;#,##0,,\)"/>
    <numFmt numFmtId="168" formatCode="&quot;$&quot;#,##0.00"/>
  </numFmts>
  <fonts count="18" x14ac:knownFonts="1">
    <font>
      <sz val="11"/>
      <color theme="1"/>
      <name val="Calibri"/>
      <family val="2"/>
      <scheme val="minor"/>
    </font>
    <font>
      <sz val="12"/>
      <color theme="1"/>
      <name val="Calibri"/>
      <family val="2"/>
      <scheme val="minor"/>
    </font>
    <font>
      <b/>
      <sz val="11"/>
      <color theme="1"/>
      <name val="Calibri"/>
      <family val="2"/>
      <scheme val="minor"/>
    </font>
    <font>
      <sz val="11"/>
      <color theme="1"/>
      <name val="Calibri"/>
      <family val="2"/>
      <scheme val="minor"/>
    </font>
    <font>
      <sz val="18"/>
      <color theme="3"/>
      <name val="Cambria"/>
      <family val="2"/>
      <scheme val="major"/>
    </font>
    <font>
      <b/>
      <sz val="13"/>
      <color theme="3"/>
      <name val="Calibri"/>
      <family val="2"/>
      <scheme val="minor"/>
    </font>
    <font>
      <b/>
      <sz val="11"/>
      <color theme="3"/>
      <name val="Calibri"/>
      <family val="2"/>
      <scheme val="minor"/>
    </font>
    <font>
      <sz val="12"/>
      <color rgb="FF3F3F76"/>
      <name val="Calibri"/>
      <family val="2"/>
      <scheme val="minor"/>
    </font>
    <font>
      <b/>
      <sz val="12"/>
      <color rgb="FF3F3F3F"/>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8"/>
      <name val="Calibri"/>
      <family val="2"/>
      <scheme val="minor"/>
    </font>
    <font>
      <b/>
      <sz val="11"/>
      <color rgb="FF0070C0"/>
      <name val="Calibri"/>
      <family val="2"/>
      <scheme val="minor"/>
    </font>
    <font>
      <b/>
      <sz val="12"/>
      <color rgb="FF0070C0"/>
      <name val="Calibri"/>
      <family val="2"/>
      <scheme val="minor"/>
    </font>
    <font>
      <b/>
      <sz val="13"/>
      <color theme="1"/>
      <name val="Calibri"/>
      <family val="2"/>
      <scheme val="minor"/>
    </font>
    <font>
      <sz val="11"/>
      <color theme="5" tint="0.39997558519241921"/>
      <name val="Calibri"/>
      <family val="2"/>
      <scheme val="minor"/>
    </font>
    <font>
      <i/>
      <sz val="11"/>
      <color theme="1"/>
      <name val="Calibri"/>
      <family val="2"/>
      <scheme val="minor"/>
    </font>
  </fonts>
  <fills count="10">
    <fill>
      <patternFill patternType="none"/>
    </fill>
    <fill>
      <patternFill patternType="gray125"/>
    </fill>
    <fill>
      <patternFill patternType="solid">
        <fgColor rgb="FFFFCC99"/>
      </patternFill>
    </fill>
    <fill>
      <patternFill patternType="solid">
        <fgColor rgb="FFF2F2F2"/>
      </patternFill>
    </fill>
    <fill>
      <patternFill patternType="solid">
        <fgColor theme="4"/>
      </patternFill>
    </fill>
    <fill>
      <patternFill patternType="solid">
        <fgColor rgb="FFDAEEF3"/>
        <bgColor indexed="64"/>
      </patternFill>
    </fill>
    <fill>
      <patternFill patternType="solid">
        <fgColor rgb="FFEBF1DE"/>
        <bgColor indexed="64"/>
      </patternFill>
    </fill>
    <fill>
      <patternFill patternType="solid">
        <fgColor rgb="FFF2DCDB"/>
        <bgColor indexed="64"/>
      </patternFill>
    </fill>
    <fill>
      <patternFill patternType="solid">
        <fgColor rgb="FFE4DFEC"/>
        <bgColor indexed="64"/>
      </patternFill>
    </fill>
    <fill>
      <patternFill patternType="solid">
        <fgColor theme="7" tint="0.79998168889431442"/>
        <bgColor indexed="65"/>
      </patternFill>
    </fill>
  </fills>
  <borders count="23">
    <border>
      <left/>
      <right/>
      <top/>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medium">
        <color indexed="64"/>
      </left>
      <right/>
      <top style="medium">
        <color indexed="64"/>
      </top>
      <bottom style="thick">
        <color theme="4" tint="0.499984740745262"/>
      </bottom>
      <diagonal/>
    </border>
    <border>
      <left/>
      <right/>
      <top style="medium">
        <color indexed="64"/>
      </top>
      <bottom style="thick">
        <color theme="4" tint="0.499984740745262"/>
      </bottom>
      <diagonal/>
    </border>
    <border>
      <left/>
      <right style="medium">
        <color indexed="64"/>
      </right>
      <top style="medium">
        <color indexed="64"/>
      </top>
      <bottom style="thick">
        <color theme="4" tint="0.499984740745262"/>
      </bottom>
      <diagonal/>
    </border>
    <border>
      <left style="medium">
        <color indexed="64"/>
      </left>
      <right/>
      <top/>
      <bottom/>
      <diagonal/>
    </border>
    <border>
      <left/>
      <right style="medium">
        <color indexed="64"/>
      </right>
      <top/>
      <bottom/>
      <diagonal/>
    </border>
    <border>
      <left style="medium">
        <color indexed="64"/>
      </left>
      <right/>
      <top/>
      <bottom style="medium">
        <color theme="4" tint="0.39997558519241921"/>
      </bottom>
      <diagonal/>
    </border>
    <border>
      <left/>
      <right style="medium">
        <color indexed="64"/>
      </right>
      <top/>
      <bottom style="medium">
        <color theme="4" tint="0.39997558519241921"/>
      </bottom>
      <diagonal/>
    </border>
    <border>
      <left style="medium">
        <color indexed="64"/>
      </left>
      <right/>
      <top/>
      <bottom style="thick">
        <color theme="4" tint="0.499984740745262"/>
      </bottom>
      <diagonal/>
    </border>
    <border>
      <left/>
      <right style="medium">
        <color indexed="64"/>
      </right>
      <top/>
      <bottom style="thick">
        <color theme="4" tint="0.499984740745262"/>
      </bottom>
      <diagonal/>
    </border>
    <border>
      <left style="medium">
        <color indexed="64"/>
      </left>
      <right style="thin">
        <color rgb="FF7F7F7F"/>
      </right>
      <top style="thin">
        <color rgb="FF7F7F7F"/>
      </top>
      <bottom style="thin">
        <color rgb="FF7F7F7F"/>
      </bottom>
      <diagonal/>
    </border>
    <border>
      <left style="medium">
        <color indexed="64"/>
      </left>
      <right style="thin">
        <color rgb="FF3F3F3F"/>
      </right>
      <top style="thin">
        <color rgb="FF3F3F3F"/>
      </top>
      <bottom style="thin">
        <color rgb="FF3F3F3F"/>
      </bottom>
      <diagonal/>
    </border>
    <border>
      <left style="thin">
        <color rgb="FF3F3F3F"/>
      </left>
      <right style="medium">
        <color indexed="64"/>
      </right>
      <top style="thin">
        <color rgb="FF3F3F3F"/>
      </top>
      <bottom style="thin">
        <color rgb="FF3F3F3F"/>
      </bottom>
      <diagonal/>
    </border>
    <border>
      <left style="medium">
        <color indexed="64"/>
      </left>
      <right style="thin">
        <color rgb="FF3F3F3F"/>
      </right>
      <top style="thin">
        <color rgb="FF3F3F3F"/>
      </top>
      <bottom style="medium">
        <color indexed="64"/>
      </bottom>
      <diagonal/>
    </border>
    <border>
      <left style="thin">
        <color rgb="FF3F3F3F"/>
      </left>
      <right style="thin">
        <color rgb="FF3F3F3F"/>
      </right>
      <top style="thin">
        <color rgb="FF3F3F3F"/>
      </top>
      <bottom style="medium">
        <color indexed="64"/>
      </bottom>
      <diagonal/>
    </border>
    <border>
      <left style="thin">
        <color rgb="FF3F3F3F"/>
      </left>
      <right style="medium">
        <color indexed="64"/>
      </right>
      <top style="thin">
        <color rgb="FF3F3F3F"/>
      </top>
      <bottom style="medium">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rgb="FF3F3F3F"/>
      </left>
      <right/>
      <top style="thin">
        <color rgb="FF3F3F3F"/>
      </top>
      <bottom style="medium">
        <color indexed="64"/>
      </bottom>
      <diagonal/>
    </border>
  </borders>
  <cellStyleXfs count="12">
    <xf numFmtId="0" fontId="0" fillId="0" borderId="0"/>
    <xf numFmtId="9" fontId="3" fillId="0" borderId="0" applyFont="0" applyFill="0" applyBorder="0" applyAlignment="0" applyProtection="0"/>
    <xf numFmtId="0" fontId="4" fillId="0" borderId="0" applyNumberFormat="0" applyFill="0" applyBorder="0" applyAlignment="0" applyProtection="0"/>
    <xf numFmtId="0" fontId="5" fillId="0" borderId="1" applyNumberFormat="0" applyFill="0" applyAlignment="0" applyProtection="0"/>
    <xf numFmtId="0" fontId="6" fillId="0" borderId="2" applyNumberFormat="0" applyFill="0" applyAlignment="0" applyProtection="0"/>
    <xf numFmtId="0" fontId="6" fillId="0" borderId="0" applyNumberFormat="0" applyFill="0" applyBorder="0" applyAlignment="0" applyProtection="0"/>
    <xf numFmtId="0" fontId="7" fillId="2" borderId="3" applyNumberFormat="0" applyAlignment="0" applyProtection="0"/>
    <xf numFmtId="0" fontId="8" fillId="3" borderId="4" applyNumberFormat="0" applyAlignment="0" applyProtection="0"/>
    <xf numFmtId="0" fontId="9" fillId="0" borderId="0" applyNumberFormat="0" applyFill="0" applyBorder="0" applyAlignment="0" applyProtection="0"/>
    <xf numFmtId="0" fontId="11" fillId="4" borderId="0" applyNumberFormat="0" applyBorder="0" applyAlignment="0" applyProtection="0"/>
    <xf numFmtId="44" fontId="3" fillId="0" borderId="0" applyFont="0" applyFill="0" applyBorder="0" applyAlignment="0" applyProtection="0"/>
    <xf numFmtId="0" fontId="1" fillId="9" borderId="0" applyNumberFormat="0" applyBorder="0" applyAlignment="0" applyProtection="0"/>
  </cellStyleXfs>
  <cellXfs count="75">
    <xf numFmtId="0" fontId="0" fillId="0" borderId="0" xfId="0"/>
    <xf numFmtId="3" fontId="0" fillId="0" borderId="0" xfId="0" applyNumberFormat="1"/>
    <xf numFmtId="6" fontId="0" fillId="0" borderId="0" xfId="0" applyNumberFormat="1"/>
    <xf numFmtId="0" fontId="9" fillId="0" borderId="0" xfId="8" applyBorder="1"/>
    <xf numFmtId="0" fontId="0" fillId="0" borderId="8" xfId="0" applyBorder="1"/>
    <xf numFmtId="0" fontId="0" fillId="0" borderId="9" xfId="0" applyBorder="1"/>
    <xf numFmtId="0" fontId="2" fillId="0" borderId="8" xfId="0" applyFont="1" applyBorder="1"/>
    <xf numFmtId="0" fontId="8" fillId="3" borderId="15" xfId="7" applyBorder="1"/>
    <xf numFmtId="0" fontId="8" fillId="3" borderId="17" xfId="7" applyBorder="1"/>
    <xf numFmtId="165" fontId="8" fillId="3" borderId="18" xfId="7" applyNumberFormat="1" applyBorder="1"/>
    <xf numFmtId="0" fontId="0" fillId="0" borderId="0" xfId="0" applyAlignment="1">
      <alignment vertical="center"/>
    </xf>
    <xf numFmtId="164" fontId="14" fillId="2" borderId="3" xfId="6" applyNumberFormat="1" applyFont="1" applyAlignment="1">
      <alignment horizontal="right" wrapText="1"/>
    </xf>
    <xf numFmtId="10" fontId="14" fillId="2" borderId="14" xfId="6" applyNumberFormat="1" applyFont="1" applyBorder="1" applyProtection="1">
      <protection locked="0"/>
    </xf>
    <xf numFmtId="0" fontId="3" fillId="0" borderId="8" xfId="0" applyFont="1" applyBorder="1"/>
    <xf numFmtId="0" fontId="3" fillId="0" borderId="9" xfId="0" applyFont="1" applyBorder="1"/>
    <xf numFmtId="0" fontId="2" fillId="0" borderId="10" xfId="4" applyFont="1" applyBorder="1"/>
    <xf numFmtId="10" fontId="3" fillId="0" borderId="0" xfId="1" applyNumberFormat="1" applyFont="1" applyBorder="1"/>
    <xf numFmtId="9" fontId="0" fillId="0" borderId="0" xfId="1" applyFont="1"/>
    <xf numFmtId="0" fontId="2" fillId="0" borderId="0" xfId="0" applyFont="1" applyAlignment="1">
      <alignment horizontal="center" vertical="center" wrapText="1"/>
    </xf>
    <xf numFmtId="0" fontId="2" fillId="0" borderId="20" xfId="0" applyFont="1" applyBorder="1" applyAlignment="1">
      <alignment horizontal="center" vertical="center" wrapText="1"/>
    </xf>
    <xf numFmtId="0" fontId="0" fillId="0" borderId="20" xfId="0" applyBorder="1" applyAlignment="1">
      <alignment horizontal="left"/>
    </xf>
    <xf numFmtId="0" fontId="0" fillId="0" borderId="20" xfId="0" applyBorder="1"/>
    <xf numFmtId="3" fontId="0" fillId="0" borderId="20" xfId="0" applyNumberFormat="1" applyBorder="1"/>
    <xf numFmtId="6" fontId="0" fillId="0" borderId="20" xfId="0" applyNumberFormat="1" applyBorder="1"/>
    <xf numFmtId="164" fontId="13" fillId="0" borderId="20" xfId="0" applyNumberFormat="1" applyFont="1" applyBorder="1" applyAlignment="1">
      <alignment horizontal="right" wrapText="1"/>
    </xf>
    <xf numFmtId="164" fontId="0" fillId="0" borderId="20" xfId="0" applyNumberFormat="1" applyBorder="1"/>
    <xf numFmtId="6" fontId="0" fillId="0" borderId="20" xfId="0" applyNumberFormat="1" applyBorder="1" applyAlignment="1">
      <alignment horizontal="right"/>
    </xf>
    <xf numFmtId="0" fontId="6" fillId="0" borderId="2" xfId="4"/>
    <xf numFmtId="0" fontId="16" fillId="0" borderId="0" xfId="0" applyFont="1"/>
    <xf numFmtId="8" fontId="16" fillId="0" borderId="0" xfId="0" applyNumberFormat="1" applyFont="1"/>
    <xf numFmtId="3" fontId="16" fillId="0" borderId="0" xfId="0" applyNumberFormat="1" applyFont="1"/>
    <xf numFmtId="167" fontId="0" fillId="0" borderId="20" xfId="0" applyNumberFormat="1" applyBorder="1"/>
    <xf numFmtId="166" fontId="8" fillId="3" borderId="4" xfId="10" applyNumberFormat="1" applyFont="1" applyFill="1" applyBorder="1"/>
    <xf numFmtId="166" fontId="8" fillId="3" borderId="22" xfId="10" applyNumberFormat="1" applyFont="1" applyFill="1" applyBorder="1"/>
    <xf numFmtId="166" fontId="1" fillId="9" borderId="16" xfId="11" applyNumberFormat="1" applyBorder="1"/>
    <xf numFmtId="166" fontId="1" fillId="9" borderId="19" xfId="11" applyNumberFormat="1" applyBorder="1"/>
    <xf numFmtId="0" fontId="6" fillId="0" borderId="8" xfId="5" applyBorder="1"/>
    <xf numFmtId="0" fontId="2" fillId="0" borderId="10" xfId="4" applyFont="1" applyBorder="1" applyAlignment="1">
      <alignment wrapText="1"/>
    </xf>
    <xf numFmtId="0" fontId="2" fillId="0" borderId="11" xfId="4" applyFont="1" applyBorder="1" applyAlignment="1">
      <alignment horizontal="right" wrapText="1"/>
    </xf>
    <xf numFmtId="0" fontId="2" fillId="0" borderId="2" xfId="4" applyFont="1"/>
    <xf numFmtId="0" fontId="3" fillId="0" borderId="0" xfId="0" applyFont="1"/>
    <xf numFmtId="10" fontId="3" fillId="0" borderId="0" xfId="0" applyNumberFormat="1" applyFont="1"/>
    <xf numFmtId="0" fontId="2" fillId="0" borderId="2" xfId="4" applyFont="1" applyAlignment="1">
      <alignment horizontal="right" wrapText="1"/>
    </xf>
    <xf numFmtId="165" fontId="8" fillId="3" borderId="4" xfId="7" applyNumberFormat="1"/>
    <xf numFmtId="10" fontId="14" fillId="2" borderId="3" xfId="6" applyNumberFormat="1" applyFont="1" applyProtection="1">
      <protection locked="0"/>
    </xf>
    <xf numFmtId="0" fontId="2" fillId="0" borderId="0" xfId="0" applyFont="1" applyAlignment="1">
      <alignment horizontal="center"/>
    </xf>
    <xf numFmtId="0" fontId="2" fillId="0" borderId="0" xfId="0" applyFont="1" applyAlignment="1">
      <alignment horizontal="center" wrapText="1"/>
    </xf>
    <xf numFmtId="3" fontId="0" fillId="0" borderId="20" xfId="0" applyNumberFormat="1" applyBorder="1" applyAlignment="1">
      <alignment horizontal="right"/>
    </xf>
    <xf numFmtId="164" fontId="0" fillId="0" borderId="20" xfId="0" applyNumberFormat="1" applyBorder="1" applyAlignment="1">
      <alignment horizontal="right"/>
    </xf>
    <xf numFmtId="167" fontId="0" fillId="0" borderId="20" xfId="0" applyNumberFormat="1" applyBorder="1" applyAlignment="1">
      <alignment horizontal="right"/>
    </xf>
    <xf numFmtId="168" fontId="0" fillId="0" borderId="0" xfId="10" applyNumberFormat="1" applyFont="1"/>
    <xf numFmtId="10" fontId="0" fillId="0" borderId="0" xfId="0" applyNumberFormat="1" applyAlignment="1">
      <alignment horizontal="right"/>
    </xf>
    <xf numFmtId="9" fontId="0" fillId="0" borderId="0" xfId="1" applyFont="1" applyAlignment="1">
      <alignment horizontal="right"/>
    </xf>
    <xf numFmtId="164" fontId="0" fillId="0" borderId="20" xfId="1" applyNumberFormat="1" applyFont="1" applyBorder="1"/>
    <xf numFmtId="0" fontId="2" fillId="0" borderId="0" xfId="0" applyFont="1" applyAlignment="1">
      <alignment horizontal="right"/>
    </xf>
    <xf numFmtId="0" fontId="10" fillId="7" borderId="0" xfId="0" applyFont="1" applyFill="1" applyAlignment="1">
      <alignment horizontal="center" vertical="center"/>
    </xf>
    <xf numFmtId="0" fontId="10" fillId="8" borderId="0" xfId="0" applyFont="1" applyFill="1" applyAlignment="1">
      <alignment horizontal="center" vertical="center"/>
    </xf>
    <xf numFmtId="0" fontId="4" fillId="0" borderId="0" xfId="2" applyAlignment="1">
      <alignment horizontal="center"/>
    </xf>
    <xf numFmtId="0" fontId="10" fillId="5" borderId="21" xfId="9" applyFont="1" applyFill="1" applyBorder="1" applyAlignment="1">
      <alignment horizontal="center" vertical="center"/>
    </xf>
    <xf numFmtId="0" fontId="10" fillId="6" borderId="21" xfId="0" applyFont="1" applyFill="1" applyBorder="1" applyAlignment="1">
      <alignment horizontal="center" vertical="center"/>
    </xf>
    <xf numFmtId="0" fontId="9" fillId="0" borderId="8" xfId="8" applyBorder="1" applyAlignment="1">
      <alignment wrapText="1"/>
    </xf>
    <xf numFmtId="0" fontId="9" fillId="0" borderId="0" xfId="8" applyBorder="1" applyAlignment="1">
      <alignment wrapText="1"/>
    </xf>
    <xf numFmtId="0" fontId="9" fillId="0" borderId="9" xfId="8" applyBorder="1" applyAlignment="1">
      <alignment wrapText="1"/>
    </xf>
    <xf numFmtId="0" fontId="15" fillId="0" borderId="12" xfId="3" applyFont="1" applyBorder="1"/>
    <xf numFmtId="0" fontId="15" fillId="0" borderId="1" xfId="3" applyFont="1"/>
    <xf numFmtId="0" fontId="15" fillId="0" borderId="13" xfId="3" applyFont="1" applyBorder="1"/>
    <xf numFmtId="0" fontId="2" fillId="0" borderId="10" xfId="4" applyFont="1" applyBorder="1"/>
    <xf numFmtId="0" fontId="2" fillId="0" borderId="2" xfId="4" applyFont="1"/>
    <xf numFmtId="0" fontId="2" fillId="0" borderId="11" xfId="4" applyFont="1" applyBorder="1"/>
    <xf numFmtId="0" fontId="15" fillId="0" borderId="5" xfId="3" applyFont="1" applyBorder="1"/>
    <xf numFmtId="0" fontId="15" fillId="0" borderId="6" xfId="3" applyFont="1" applyBorder="1"/>
    <xf numFmtId="0" fontId="15" fillId="0" borderId="7" xfId="3" applyFont="1" applyBorder="1"/>
    <xf numFmtId="0" fontId="2" fillId="0" borderId="8" xfId="5" applyFont="1" applyBorder="1"/>
    <xf numFmtId="0" fontId="2" fillId="0" borderId="0" xfId="5" applyFont="1" applyBorder="1"/>
    <xf numFmtId="0" fontId="2" fillId="0" borderId="9" xfId="5" applyFont="1" applyBorder="1"/>
  </cellXfs>
  <cellStyles count="12">
    <cellStyle name="20% - Accent4" xfId="11" builtinId="42"/>
    <cellStyle name="Accent1" xfId="9" builtinId="29"/>
    <cellStyle name="Currency" xfId="10" builtinId="4"/>
    <cellStyle name="Explanatory Text" xfId="8" builtinId="53"/>
    <cellStyle name="Heading 2" xfId="3" builtinId="17"/>
    <cellStyle name="Heading 3" xfId="4" builtinId="18"/>
    <cellStyle name="Heading 4" xfId="5" builtinId="19"/>
    <cellStyle name="Input" xfId="6" builtinId="20"/>
    <cellStyle name="Normal" xfId="0" builtinId="0"/>
    <cellStyle name="Output" xfId="7" builtinId="21"/>
    <cellStyle name="Percent" xfId="1" builtinId="5"/>
    <cellStyle name="Title" xfId="2" builtinId="15"/>
  </cellStyles>
  <dxfs count="6">
    <dxf>
      <numFmt numFmtId="14" formatCode="0.00%"/>
    </dxf>
    <dxf>
      <numFmt numFmtId="168" formatCode="&quot;$&quot;#,##0.00"/>
    </dxf>
    <dxf>
      <font>
        <b val="0"/>
        <i val="0"/>
        <strike val="0"/>
        <condense val="0"/>
        <extend val="0"/>
        <outline val="0"/>
        <shadow val="0"/>
        <u val="none"/>
        <vertAlign val="baseline"/>
        <sz val="11"/>
        <color theme="1"/>
        <name val="Calibri"/>
        <family val="2"/>
        <scheme val="minor"/>
      </font>
    </dxf>
    <dxf>
      <numFmt numFmtId="3" formatCode="#,##0"/>
    </dxf>
    <dxf>
      <numFmt numFmtId="10" formatCode="&quot;$&quot;#,##0_);[Red]\(&quot;$&quot;#,##0\)"/>
    </dxf>
    <dxf>
      <font>
        <b/>
        <i val="0"/>
        <strike val="0"/>
        <condense val="0"/>
        <extend val="0"/>
        <outline val="0"/>
        <shadow val="0"/>
        <u val="none"/>
        <vertAlign val="baseline"/>
        <sz val="11"/>
        <color theme="1"/>
        <name val="Calibri"/>
        <family val="2"/>
        <scheme val="minor"/>
      </font>
      <alignment horizontal="center" vertical="bottom" textRotation="0" wrapText="0" indent="0" justifyLastLine="0" shrinkToFit="0" readingOrder="0"/>
    </dxf>
  </dxfs>
  <tableStyles count="0" defaultTableStyle="TableStyleMedium9" defaultPivotStyle="PivotStyleLight16"/>
  <colors>
    <mruColors>
      <color rgb="FF7F7F7F"/>
      <color rgb="FFB9CDE5"/>
      <color rgb="FFC7D8EA"/>
      <color rgb="FFF2DCDB"/>
      <color rgb="FFE4DFEC"/>
      <color rgb="FFEBF1DE"/>
      <color rgb="FFDAEEF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r>
              <a:rPr lang="en-US" sz="1800" b="1"/>
              <a:t>Medicaid Managed Long Term Care Enrollment and Spending, by State</a:t>
            </a:r>
            <a:r>
              <a:rPr lang="en-US" sz="1800" b="1" baseline="0"/>
              <a:t> </a:t>
            </a:r>
            <a:r>
              <a:rPr lang="en-US" sz="1800" b="1"/>
              <a:t>Fiscal Year</a:t>
            </a:r>
          </a:p>
          <a:p>
            <a:pPr>
              <a:defRPr/>
            </a:pPr>
            <a:r>
              <a:rPr lang="en-US" b="1"/>
              <a:t>New York State</a:t>
            </a:r>
          </a:p>
        </c:rich>
      </c:tx>
      <c:overlay val="0"/>
      <c:spPr>
        <a:noFill/>
        <a:ln>
          <a:noFill/>
        </a:ln>
        <a:effectLst/>
      </c:spPr>
      <c:txPr>
        <a:bodyPr rot="0" spcFirstLastPara="1" vertOverflow="ellipsis" vert="horz" wrap="square" anchor="ctr" anchorCtr="1"/>
        <a:lstStyle/>
        <a:p>
          <a:pPr>
            <a:defRPr sz="1440" b="0" i="0" u="none" strike="noStrike" kern="1200" spc="0" baseline="0">
              <a:solidFill>
                <a:sysClr val="windowText" lastClr="000000"/>
              </a:solidFill>
              <a:latin typeface="+mn-lt"/>
              <a:ea typeface="+mn-ea"/>
              <a:cs typeface="+mn-cs"/>
            </a:defRPr>
          </a:pPr>
          <a:endParaRPr lang="en-US"/>
        </a:p>
      </c:txPr>
    </c:title>
    <c:autoTitleDeleted val="0"/>
    <c:plotArea>
      <c:layout>
        <c:manualLayout>
          <c:layoutTarget val="inner"/>
          <c:xMode val="edge"/>
          <c:yMode val="edge"/>
          <c:x val="7.780608744929611E-2"/>
          <c:y val="0.18118165864194752"/>
          <c:w val="0.85111600751610594"/>
          <c:h val="0.77116722653837555"/>
        </c:manualLayout>
      </c:layout>
      <c:barChart>
        <c:barDir val="col"/>
        <c:grouping val="clustered"/>
        <c:varyColors val="0"/>
        <c:ser>
          <c:idx val="1"/>
          <c:order val="0"/>
          <c:tx>
            <c:v>Enrollment</c:v>
          </c:tx>
          <c:spPr>
            <a:solidFill>
              <a:schemeClr val="accent1">
                <a:lumMod val="40000"/>
                <a:lumOff val="60000"/>
                <a:alpha val="80000"/>
              </a:schemeClr>
            </a:solidFill>
            <a:ln>
              <a:noFill/>
            </a:ln>
            <a:effectLst/>
          </c:spPr>
          <c:invertIfNegative val="0"/>
          <c:dPt>
            <c:idx val="10"/>
            <c:invertIfNegative val="0"/>
            <c:bubble3D val="0"/>
            <c:spPr>
              <a:solidFill>
                <a:srgbClr val="B9CDE5">
                  <a:alpha val="80000"/>
                </a:srgbClr>
              </a:solidFill>
              <a:ln>
                <a:noFill/>
              </a:ln>
              <a:effectLst/>
            </c:spPr>
            <c:extLst>
              <c:ext xmlns:c16="http://schemas.microsoft.com/office/drawing/2014/chart" uri="{C3380CC4-5D6E-409C-BE32-E72D297353CC}">
                <c16:uniqueId val="{0000001A-EC81-CF44-920D-19D254A97AA7}"/>
              </c:ext>
            </c:extLst>
          </c:dPt>
          <c:dPt>
            <c:idx val="11"/>
            <c:invertIfNegative val="0"/>
            <c:bubble3D val="0"/>
            <c:spPr>
              <a:solidFill>
                <a:schemeClr val="tx1">
                  <a:lumMod val="50000"/>
                  <a:lumOff val="50000"/>
                  <a:alpha val="80000"/>
                </a:schemeClr>
              </a:solidFill>
              <a:ln>
                <a:noFill/>
              </a:ln>
              <a:effectLst/>
            </c:spPr>
            <c:extLst>
              <c:ext xmlns:c16="http://schemas.microsoft.com/office/drawing/2014/chart" uri="{C3380CC4-5D6E-409C-BE32-E72D297353CC}">
                <c16:uniqueId val="{00000019-EC81-CF44-920D-19D254A97AA7}"/>
              </c:ext>
            </c:extLst>
          </c:dPt>
          <c:dPt>
            <c:idx val="12"/>
            <c:invertIfNegative val="0"/>
            <c:bubble3D val="0"/>
            <c:spPr>
              <a:solidFill>
                <a:schemeClr val="tx1">
                  <a:lumMod val="50000"/>
                  <a:lumOff val="50000"/>
                  <a:alpha val="80000"/>
                </a:schemeClr>
              </a:solidFill>
              <a:ln>
                <a:noFill/>
              </a:ln>
              <a:effectLst/>
            </c:spPr>
            <c:extLst>
              <c:ext xmlns:c16="http://schemas.microsoft.com/office/drawing/2014/chart" uri="{C3380CC4-5D6E-409C-BE32-E72D297353CC}">
                <c16:uniqueId val="{00000018-EC81-CF44-920D-19D254A97AA7}"/>
              </c:ext>
            </c:extLst>
          </c:dPt>
          <c:dPt>
            <c:idx val="13"/>
            <c:invertIfNegative val="0"/>
            <c:bubble3D val="0"/>
            <c:spPr>
              <a:solidFill>
                <a:schemeClr val="bg1">
                  <a:lumMod val="50000"/>
                  <a:alpha val="80000"/>
                </a:schemeClr>
              </a:solidFill>
              <a:ln>
                <a:noFill/>
              </a:ln>
              <a:effectLst/>
            </c:spPr>
            <c:extLst>
              <c:ext xmlns:c16="http://schemas.microsoft.com/office/drawing/2014/chart" uri="{C3380CC4-5D6E-409C-BE32-E72D297353CC}">
                <c16:uniqueId val="{00000031-995D-784E-BC21-BE9172A3D010}"/>
              </c:ext>
            </c:extLst>
          </c:dPt>
          <c:dPt>
            <c:idx val="14"/>
            <c:invertIfNegative val="0"/>
            <c:bubble3D val="0"/>
            <c:spPr>
              <a:solidFill>
                <a:schemeClr val="bg1">
                  <a:lumMod val="50000"/>
                  <a:alpha val="80000"/>
                </a:schemeClr>
              </a:solidFill>
              <a:ln>
                <a:noFill/>
              </a:ln>
              <a:effectLst/>
            </c:spPr>
            <c:extLst>
              <c:ext xmlns:c16="http://schemas.microsoft.com/office/drawing/2014/chart" uri="{C3380CC4-5D6E-409C-BE32-E72D297353CC}">
                <c16:uniqueId val="{00000007-995D-784E-BC21-BE9172A3D010}"/>
              </c:ext>
            </c:extLst>
          </c:dPt>
          <c:dPt>
            <c:idx val="15"/>
            <c:invertIfNegative val="0"/>
            <c:bubble3D val="0"/>
            <c:spPr>
              <a:solidFill>
                <a:srgbClr val="7F7F7F">
                  <a:alpha val="80000"/>
                </a:srgbClr>
              </a:solidFill>
              <a:ln>
                <a:noFill/>
              </a:ln>
              <a:effectLst/>
            </c:spPr>
            <c:extLst>
              <c:ext xmlns:c16="http://schemas.microsoft.com/office/drawing/2014/chart" uri="{C3380CC4-5D6E-409C-BE32-E72D297353CC}">
                <c16:uniqueId val="{00000006-995D-784E-BC21-BE9172A3D010}"/>
              </c:ext>
            </c:extLst>
          </c:dPt>
          <c:dPt>
            <c:idx val="16"/>
            <c:invertIfNegative val="0"/>
            <c:bubble3D val="0"/>
            <c:spPr>
              <a:solidFill>
                <a:schemeClr val="bg1">
                  <a:lumMod val="50000"/>
                  <a:alpha val="80000"/>
                </a:schemeClr>
              </a:solidFill>
              <a:ln>
                <a:noFill/>
              </a:ln>
              <a:effectLst/>
            </c:spPr>
            <c:extLst>
              <c:ext xmlns:c16="http://schemas.microsoft.com/office/drawing/2014/chart" uri="{C3380CC4-5D6E-409C-BE32-E72D297353CC}">
                <c16:uniqueId val="{00000005-995D-784E-BC21-BE9172A3D010}"/>
              </c:ext>
            </c:extLst>
          </c:dPt>
          <c:dPt>
            <c:idx val="17"/>
            <c:invertIfNegative val="0"/>
            <c:bubble3D val="0"/>
            <c:spPr>
              <a:solidFill>
                <a:schemeClr val="bg1">
                  <a:lumMod val="50000"/>
                  <a:alpha val="80000"/>
                </a:schemeClr>
              </a:solidFill>
              <a:ln>
                <a:noFill/>
              </a:ln>
              <a:effectLst/>
            </c:spPr>
            <c:extLst>
              <c:ext xmlns:c16="http://schemas.microsoft.com/office/drawing/2014/chart" uri="{C3380CC4-5D6E-409C-BE32-E72D297353CC}">
                <c16:uniqueId val="{00000004-995D-784E-BC21-BE9172A3D010}"/>
              </c:ext>
            </c:extLst>
          </c:dPt>
          <c:dPt>
            <c:idx val="18"/>
            <c:invertIfNegative val="0"/>
            <c:bubble3D val="0"/>
            <c:spPr>
              <a:solidFill>
                <a:schemeClr val="accent1">
                  <a:lumMod val="40000"/>
                  <a:lumOff val="60000"/>
                  <a:alpha val="80000"/>
                </a:schemeClr>
              </a:solidFill>
              <a:ln>
                <a:noFill/>
              </a:ln>
              <a:effectLst/>
            </c:spPr>
            <c:extLst>
              <c:ext xmlns:c16="http://schemas.microsoft.com/office/drawing/2014/chart" uri="{C3380CC4-5D6E-409C-BE32-E72D297353CC}">
                <c16:uniqueId val="{00000003-995D-784E-BC21-BE9172A3D010}"/>
              </c:ext>
            </c:extLst>
          </c:dPt>
          <c:cat>
            <c:strRef>
              <c:f>projection_data!$B$2:$B$17</c:f>
              <c:strCache>
                <c:ptCount val="16"/>
                <c:pt idx="0">
                  <c:v>FY15</c:v>
                </c:pt>
                <c:pt idx="1">
                  <c:v>FY16</c:v>
                </c:pt>
                <c:pt idx="2">
                  <c:v>FY17</c:v>
                </c:pt>
                <c:pt idx="3">
                  <c:v>FY18</c:v>
                </c:pt>
                <c:pt idx="4">
                  <c:v>FY19</c:v>
                </c:pt>
                <c:pt idx="5">
                  <c:v>FY20</c:v>
                </c:pt>
                <c:pt idx="6">
                  <c:v>FY21</c:v>
                </c:pt>
                <c:pt idx="7">
                  <c:v>FY22</c:v>
                </c:pt>
                <c:pt idx="8">
                  <c:v>FY23</c:v>
                </c:pt>
                <c:pt idx="9">
                  <c:v>FY24</c:v>
                </c:pt>
                <c:pt idx="10">
                  <c:v>FY25</c:v>
                </c:pt>
                <c:pt idx="11">
                  <c:v>FY26</c:v>
                </c:pt>
                <c:pt idx="12">
                  <c:v>FY27</c:v>
                </c:pt>
                <c:pt idx="13">
                  <c:v>FY28</c:v>
                </c:pt>
                <c:pt idx="14">
                  <c:v>FY29</c:v>
                </c:pt>
                <c:pt idx="15">
                  <c:v>FY30</c:v>
                </c:pt>
              </c:strCache>
            </c:strRef>
          </c:cat>
          <c:val>
            <c:numRef>
              <c:f>projection_data!$D$2:$D$17</c:f>
              <c:numCache>
                <c:formatCode>#,##0</c:formatCode>
                <c:ptCount val="16"/>
                <c:pt idx="0">
                  <c:v>135152.91666666599</c:v>
                </c:pt>
                <c:pt idx="1">
                  <c:v>144672</c:v>
                </c:pt>
                <c:pt idx="2">
                  <c:v>175045.33333333299</c:v>
                </c:pt>
                <c:pt idx="3">
                  <c:v>204796.83333333299</c:v>
                </c:pt>
                <c:pt idx="4">
                  <c:v>234696.41666666599</c:v>
                </c:pt>
                <c:pt idx="5">
                  <c:v>267329.33333333302</c:v>
                </c:pt>
                <c:pt idx="6">
                  <c:v>274331.91666666599</c:v>
                </c:pt>
                <c:pt idx="7">
                  <c:v>279188.75</c:v>
                </c:pt>
                <c:pt idx="8">
                  <c:v>294392.41666666599</c:v>
                </c:pt>
                <c:pt idx="9">
                  <c:v>324988.41666666599</c:v>
                </c:pt>
                <c:pt idx="10">
                  <c:v>363780</c:v>
                </c:pt>
                <c:pt idx="11">
                  <c:v>391718.304</c:v>
                </c:pt>
                <c:pt idx="12">
                  <c:v>421802.26974720001</c:v>
                </c:pt>
                <c:pt idx="13">
                  <c:v>454196.68406378495</c:v>
                </c:pt>
                <c:pt idx="14">
                  <c:v>489078.98939988361</c:v>
                </c:pt>
                <c:pt idx="15">
                  <c:v>526640.2557857947</c:v>
                </c:pt>
              </c:numCache>
            </c:numRef>
          </c:val>
          <c:extLst>
            <c:ext xmlns:c16="http://schemas.microsoft.com/office/drawing/2014/chart" uri="{C3380CC4-5D6E-409C-BE32-E72D297353CC}">
              <c16:uniqueId val="{00000000-995D-784E-BC21-BE9172A3D010}"/>
            </c:ext>
          </c:extLst>
        </c:ser>
        <c:dLbls>
          <c:showLegendKey val="0"/>
          <c:showVal val="0"/>
          <c:showCatName val="0"/>
          <c:showSerName val="0"/>
          <c:showPercent val="0"/>
          <c:showBubbleSize val="0"/>
        </c:dLbls>
        <c:gapWidth val="50"/>
        <c:axId val="916994623"/>
        <c:axId val="971831951"/>
      </c:barChart>
      <c:lineChart>
        <c:grouping val="standard"/>
        <c:varyColors val="0"/>
        <c:ser>
          <c:idx val="5"/>
          <c:order val="1"/>
          <c:tx>
            <c:strRef>
              <c:f>projection_data!$C$1</c:f>
              <c:strCache>
                <c:ptCount val="1"/>
                <c:pt idx="0">
                  <c:v>State Spending</c:v>
                </c:pt>
              </c:strCache>
            </c:strRef>
          </c:tx>
          <c:spPr>
            <a:ln w="19050" cap="rnd">
              <a:solidFill>
                <a:schemeClr val="tx1"/>
              </a:solidFill>
              <a:round/>
            </a:ln>
            <a:effectLst/>
          </c:spPr>
          <c:marker>
            <c:symbol val="circle"/>
            <c:size val="5"/>
            <c:spPr>
              <a:solidFill>
                <a:schemeClr val="tx1"/>
              </a:solidFill>
              <a:ln w="9525">
                <a:solidFill>
                  <a:schemeClr val="tx1"/>
                </a:solidFill>
              </a:ln>
              <a:effectLst/>
            </c:spPr>
          </c:marker>
          <c:dPt>
            <c:idx val="13"/>
            <c:marker>
              <c:symbol val="circle"/>
              <c:size val="5"/>
              <c:spPr>
                <a:solidFill>
                  <a:schemeClr val="tx1"/>
                </a:solidFill>
                <a:ln w="9525">
                  <a:solidFill>
                    <a:schemeClr val="tx1"/>
                  </a:solidFill>
                </a:ln>
                <a:effectLst/>
              </c:spPr>
            </c:marker>
            <c:bubble3D val="0"/>
            <c:spPr>
              <a:ln w="19050" cap="rnd">
                <a:solidFill>
                  <a:schemeClr val="tx1"/>
                </a:solidFill>
                <a:prstDash val="dash"/>
                <a:round/>
              </a:ln>
              <a:effectLst/>
            </c:spPr>
            <c:extLst>
              <c:ext xmlns:c16="http://schemas.microsoft.com/office/drawing/2014/chart" uri="{C3380CC4-5D6E-409C-BE32-E72D297353CC}">
                <c16:uniqueId val="{00000032-995D-784E-BC21-BE9172A3D010}"/>
              </c:ext>
            </c:extLst>
          </c:dPt>
          <c:dPt>
            <c:idx val="14"/>
            <c:marker>
              <c:symbol val="circle"/>
              <c:size val="5"/>
              <c:spPr>
                <a:solidFill>
                  <a:schemeClr val="tx1"/>
                </a:solidFill>
                <a:ln w="9525">
                  <a:solidFill>
                    <a:schemeClr val="tx1"/>
                  </a:solidFill>
                </a:ln>
                <a:effectLst/>
              </c:spPr>
            </c:marker>
            <c:bubble3D val="0"/>
            <c:spPr>
              <a:ln w="19050" cap="rnd">
                <a:solidFill>
                  <a:schemeClr val="tx1"/>
                </a:solidFill>
                <a:prstDash val="dash"/>
                <a:round/>
              </a:ln>
              <a:effectLst/>
            </c:spPr>
            <c:extLst>
              <c:ext xmlns:c16="http://schemas.microsoft.com/office/drawing/2014/chart" uri="{C3380CC4-5D6E-409C-BE32-E72D297353CC}">
                <c16:uniqueId val="{0000000C-995D-784E-BC21-BE9172A3D010}"/>
              </c:ext>
            </c:extLst>
          </c:dPt>
          <c:dPt>
            <c:idx val="15"/>
            <c:marker>
              <c:symbol val="circle"/>
              <c:size val="5"/>
              <c:spPr>
                <a:solidFill>
                  <a:schemeClr val="tx1"/>
                </a:solidFill>
                <a:ln w="9525">
                  <a:solidFill>
                    <a:schemeClr val="tx1"/>
                  </a:solidFill>
                </a:ln>
                <a:effectLst/>
              </c:spPr>
            </c:marker>
            <c:bubble3D val="0"/>
            <c:spPr>
              <a:ln w="19050" cap="rnd">
                <a:solidFill>
                  <a:schemeClr val="tx1"/>
                </a:solidFill>
                <a:prstDash val="dash"/>
                <a:round/>
              </a:ln>
              <a:effectLst/>
            </c:spPr>
            <c:extLst>
              <c:ext xmlns:c16="http://schemas.microsoft.com/office/drawing/2014/chart" uri="{C3380CC4-5D6E-409C-BE32-E72D297353CC}">
                <c16:uniqueId val="{0000000B-995D-784E-BC21-BE9172A3D010}"/>
              </c:ext>
            </c:extLst>
          </c:dPt>
          <c:dPt>
            <c:idx val="16"/>
            <c:marker>
              <c:symbol val="circle"/>
              <c:size val="5"/>
              <c:spPr>
                <a:solidFill>
                  <a:schemeClr val="tx1"/>
                </a:solidFill>
                <a:ln w="9525">
                  <a:solidFill>
                    <a:schemeClr val="tx1"/>
                  </a:solidFill>
                </a:ln>
                <a:effectLst/>
              </c:spPr>
            </c:marker>
            <c:bubble3D val="0"/>
            <c:spPr>
              <a:ln w="19050" cap="rnd">
                <a:solidFill>
                  <a:schemeClr val="tx1"/>
                </a:solidFill>
                <a:prstDash val="dash"/>
                <a:round/>
              </a:ln>
              <a:effectLst/>
            </c:spPr>
            <c:extLst>
              <c:ext xmlns:c16="http://schemas.microsoft.com/office/drawing/2014/chart" uri="{C3380CC4-5D6E-409C-BE32-E72D297353CC}">
                <c16:uniqueId val="{0000000A-995D-784E-BC21-BE9172A3D010}"/>
              </c:ext>
            </c:extLst>
          </c:dPt>
          <c:dPt>
            <c:idx val="17"/>
            <c:marker>
              <c:symbol val="circle"/>
              <c:size val="5"/>
              <c:spPr>
                <a:solidFill>
                  <a:schemeClr val="tx1"/>
                </a:solidFill>
                <a:ln w="9525">
                  <a:solidFill>
                    <a:schemeClr val="tx1"/>
                  </a:solidFill>
                </a:ln>
                <a:effectLst/>
              </c:spPr>
            </c:marker>
            <c:bubble3D val="0"/>
            <c:spPr>
              <a:ln w="19050" cap="rnd">
                <a:solidFill>
                  <a:schemeClr val="tx1"/>
                </a:solidFill>
                <a:prstDash val="dash"/>
                <a:round/>
              </a:ln>
              <a:effectLst/>
            </c:spPr>
            <c:extLst>
              <c:ext xmlns:c16="http://schemas.microsoft.com/office/drawing/2014/chart" uri="{C3380CC4-5D6E-409C-BE32-E72D297353CC}">
                <c16:uniqueId val="{00000009-995D-784E-BC21-BE9172A3D010}"/>
              </c:ext>
            </c:extLst>
          </c:dPt>
          <c:dPt>
            <c:idx val="18"/>
            <c:marker>
              <c:symbol val="circle"/>
              <c:size val="5"/>
              <c:spPr>
                <a:solidFill>
                  <a:schemeClr val="tx1"/>
                </a:solidFill>
                <a:ln w="9525">
                  <a:solidFill>
                    <a:schemeClr val="tx1"/>
                  </a:solidFill>
                </a:ln>
                <a:effectLst/>
              </c:spPr>
            </c:marker>
            <c:bubble3D val="0"/>
            <c:spPr>
              <a:ln w="19050" cap="rnd">
                <a:solidFill>
                  <a:schemeClr val="tx1"/>
                </a:solidFill>
                <a:prstDash val="dash"/>
                <a:round/>
              </a:ln>
              <a:effectLst/>
            </c:spPr>
            <c:extLst>
              <c:ext xmlns:c16="http://schemas.microsoft.com/office/drawing/2014/chart" uri="{C3380CC4-5D6E-409C-BE32-E72D297353CC}">
                <c16:uniqueId val="{00000008-995D-784E-BC21-BE9172A3D010}"/>
              </c:ext>
            </c:extLst>
          </c:dPt>
          <c:cat>
            <c:strRef>
              <c:f>projection_data!$B$2:$B$17</c:f>
              <c:strCache>
                <c:ptCount val="16"/>
                <c:pt idx="0">
                  <c:v>FY15</c:v>
                </c:pt>
                <c:pt idx="1">
                  <c:v>FY16</c:v>
                </c:pt>
                <c:pt idx="2">
                  <c:v>FY17</c:v>
                </c:pt>
                <c:pt idx="3">
                  <c:v>FY18</c:v>
                </c:pt>
                <c:pt idx="4">
                  <c:v>FY19</c:v>
                </c:pt>
                <c:pt idx="5">
                  <c:v>FY20</c:v>
                </c:pt>
                <c:pt idx="6">
                  <c:v>FY21</c:v>
                </c:pt>
                <c:pt idx="7">
                  <c:v>FY22</c:v>
                </c:pt>
                <c:pt idx="8">
                  <c:v>FY23</c:v>
                </c:pt>
                <c:pt idx="9">
                  <c:v>FY24</c:v>
                </c:pt>
                <c:pt idx="10">
                  <c:v>FY25</c:v>
                </c:pt>
                <c:pt idx="11">
                  <c:v>FY26</c:v>
                </c:pt>
                <c:pt idx="12">
                  <c:v>FY27</c:v>
                </c:pt>
                <c:pt idx="13">
                  <c:v>FY28</c:v>
                </c:pt>
                <c:pt idx="14">
                  <c:v>FY29</c:v>
                </c:pt>
                <c:pt idx="15">
                  <c:v>FY30</c:v>
                </c:pt>
              </c:strCache>
            </c:strRef>
          </c:cat>
          <c:val>
            <c:numRef>
              <c:f>projection_data!$C$2:$C$17</c:f>
              <c:numCache>
                <c:formatCode>"$"#,##0_);[Red]\("$"#,##0\)</c:formatCode>
                <c:ptCount val="16"/>
                <c:pt idx="0">
                  <c:v>3471000000</c:v>
                </c:pt>
                <c:pt idx="1">
                  <c:v>3793000000</c:v>
                </c:pt>
                <c:pt idx="2">
                  <c:v>4612000000</c:v>
                </c:pt>
                <c:pt idx="3">
                  <c:v>5812000000</c:v>
                </c:pt>
                <c:pt idx="4">
                  <c:v>6285000000</c:v>
                </c:pt>
                <c:pt idx="5">
                  <c:v>7765000000</c:v>
                </c:pt>
                <c:pt idx="6">
                  <c:v>7215000000</c:v>
                </c:pt>
                <c:pt idx="7">
                  <c:v>7697000000</c:v>
                </c:pt>
                <c:pt idx="8">
                  <c:v>7614000000</c:v>
                </c:pt>
                <c:pt idx="9">
                  <c:v>8865000000</c:v>
                </c:pt>
                <c:pt idx="10">
                  <c:v>9728000000</c:v>
                </c:pt>
                <c:pt idx="11" formatCode="&quot;$&quot;#,##0.00_);[Red]\(&quot;$&quot;#,##0.00\)">
                  <c:v>10495013109.759989</c:v>
                </c:pt>
                <c:pt idx="12" formatCode="&quot;$&quot;#,##0.00_);[Red]\(&quot;$&quot;#,##0.00\)">
                  <c:v>11322502073.811075</c:v>
                </c:pt>
                <c:pt idx="13" formatCode="&quot;$&quot;#,##0.00_);[Red]\(&quot;$&quot;#,##0.00\)">
                  <c:v>12215235166.522617</c:v>
                </c:pt>
                <c:pt idx="14" formatCode="&quot;$&quot;#,##0.00_);[Red]\(&quot;$&quot;#,##0.00\)">
                  <c:v>13178356621.243446</c:v>
                </c:pt>
                <c:pt idx="15" formatCode="&quot;$&quot;#,##0.00_);[Red]\(&quot;$&quot;#,##0.00\)">
                  <c:v>14217416273.133478</c:v>
                </c:pt>
              </c:numCache>
            </c:numRef>
          </c:val>
          <c:smooth val="0"/>
          <c:extLst>
            <c:ext xmlns:c16="http://schemas.microsoft.com/office/drawing/2014/chart" uri="{C3380CC4-5D6E-409C-BE32-E72D297353CC}">
              <c16:uniqueId val="{00000001-995D-784E-BC21-BE9172A3D010}"/>
            </c:ext>
          </c:extLst>
        </c:ser>
        <c:dLbls>
          <c:showLegendKey val="0"/>
          <c:showVal val="0"/>
          <c:showCatName val="0"/>
          <c:showSerName val="0"/>
          <c:showPercent val="0"/>
          <c:showBubbleSize val="0"/>
        </c:dLbls>
        <c:marker val="1"/>
        <c:smooth val="0"/>
        <c:axId val="527732575"/>
        <c:axId val="527564895"/>
      </c:lineChart>
      <c:catAx>
        <c:axId val="9169946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971831951"/>
        <c:crosses val="autoZero"/>
        <c:auto val="1"/>
        <c:lblAlgn val="ctr"/>
        <c:lblOffset val="100"/>
        <c:noMultiLvlLbl val="0"/>
      </c:catAx>
      <c:valAx>
        <c:axId val="97183195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r>
                  <a:rPr lang="en-US" sz="1400" b="1" baseline="0"/>
                  <a:t>Average Annual Enrollment</a:t>
                </a:r>
                <a:endParaRPr lang="en-US" sz="1400" b="1"/>
              </a:p>
            </c:rich>
          </c:tx>
          <c:layout>
            <c:manualLayout>
              <c:xMode val="edge"/>
              <c:yMode val="edge"/>
              <c:x val="1.2547124791219279E-2"/>
              <c:y val="0.49495866795720306"/>
            </c:manualLayout>
          </c:layout>
          <c:overlay val="0"/>
          <c:spPr>
            <a:noFill/>
            <a:ln>
              <a:noFill/>
            </a:ln>
            <a:effectLst/>
          </c:spPr>
          <c:txPr>
            <a:bodyPr rot="-5400000" spcFirstLastPara="1" vertOverflow="ellipsis" vert="horz" wrap="square" anchor="ctr" anchorCtr="1"/>
            <a:lstStyle/>
            <a:p>
              <a:pPr>
                <a:defRPr sz="1400" b="1" i="0" u="none" strike="noStrike" kern="1200" baseline="0">
                  <a:solidFill>
                    <a:sysClr val="windowText" lastClr="000000"/>
                  </a:solidFill>
                  <a:latin typeface="+mn-lt"/>
                  <a:ea typeface="+mn-ea"/>
                  <a:cs typeface="+mn-cs"/>
                </a:defRPr>
              </a:pPr>
              <a:endParaRPr lang="en-US"/>
            </a:p>
          </c:txPr>
        </c:title>
        <c:numFmt formatCode="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916994623"/>
        <c:crosses val="autoZero"/>
        <c:crossBetween val="between"/>
        <c:dispUnits>
          <c:builtInUnit val="thousands"/>
          <c:dispUnitsLbl>
            <c:spPr>
              <a:noFill/>
              <a:ln>
                <a:noFill/>
              </a:ln>
              <a:effectLst/>
            </c:spPr>
            <c:txPr>
              <a:bodyPr rot="-54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dispUnitsLbl>
        </c:dispUnits>
      </c:valAx>
      <c:valAx>
        <c:axId val="527564895"/>
        <c:scaling>
          <c:orientation val="minMax"/>
        </c:scaling>
        <c:delete val="0"/>
        <c:axPos val="r"/>
        <c:title>
          <c:tx>
            <c:rich>
              <a:bodyPr rot="5400000" spcFirstLastPara="1" vertOverflow="ellipsis" wrap="square" anchor="ctr" anchorCtr="1"/>
              <a:lstStyle/>
              <a:p>
                <a:pPr>
                  <a:defRPr sz="1400" b="1" i="0" u="none" strike="noStrike" kern="1200" baseline="0">
                    <a:solidFill>
                      <a:sysClr val="windowText" lastClr="000000"/>
                    </a:solidFill>
                    <a:latin typeface="+mn-lt"/>
                    <a:ea typeface="+mn-ea"/>
                    <a:cs typeface="+mn-cs"/>
                  </a:defRPr>
                </a:pPr>
                <a:r>
                  <a:rPr lang="en-US" sz="1400" b="1">
                    <a:solidFill>
                      <a:sysClr val="windowText" lastClr="000000"/>
                    </a:solidFill>
                  </a:rPr>
                  <a:t>State Spending</a:t>
                </a:r>
              </a:p>
            </c:rich>
          </c:tx>
          <c:layout>
            <c:manualLayout>
              <c:xMode val="edge"/>
              <c:yMode val="edge"/>
              <c:x val="0.96991976855165829"/>
              <c:y val="0.51377102571480893"/>
            </c:manualLayout>
          </c:layout>
          <c:overlay val="0"/>
          <c:spPr>
            <a:noFill/>
            <a:ln>
              <a:noFill/>
            </a:ln>
            <a:effectLst/>
          </c:spPr>
          <c:txPr>
            <a:bodyPr rot="5400000" spcFirstLastPara="1" vertOverflow="ellipsis" wrap="square" anchor="ctr" anchorCtr="1"/>
            <a:lstStyle/>
            <a:p>
              <a:pPr>
                <a:defRPr sz="1400" b="1" i="0" u="none" strike="noStrike" kern="1200" baseline="0">
                  <a:solidFill>
                    <a:sysClr val="windowText" lastClr="000000"/>
                  </a:solidFill>
                  <a:latin typeface="+mn-lt"/>
                  <a:ea typeface="+mn-ea"/>
                  <a:cs typeface="+mn-cs"/>
                </a:defRPr>
              </a:pPr>
              <a:endParaRPr lang="en-US"/>
            </a:p>
          </c:txPr>
        </c:title>
        <c:numFmt formatCode="&quot;$&quot;#,##0_);[Red]\(&quot;$&quot;#,##0\)" sourceLinked="0"/>
        <c:majorTickMark val="cross"/>
        <c:minorTickMark val="none"/>
        <c:tickLblPos val="nextTo"/>
        <c:spPr>
          <a:noFill/>
          <a:ln>
            <a:solidFill>
              <a:schemeClr val="tx1"/>
            </a:solidFill>
          </a:ln>
          <a:effectLst/>
        </c:spPr>
        <c:txPr>
          <a:bodyPr rot="-6000000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crossAx val="527732575"/>
        <c:crosses val="max"/>
        <c:crossBetween val="between"/>
        <c:dispUnits>
          <c:builtInUnit val="billions"/>
          <c:dispUnitsLbl>
            <c:spPr>
              <a:noFill/>
              <a:ln>
                <a:noFill/>
              </a:ln>
              <a:effectLst/>
            </c:spPr>
            <c:txPr>
              <a:bodyPr rot="5400000" spcFirstLastPara="1" vertOverflow="ellipsis" wrap="square" anchor="ctr" anchorCtr="1"/>
              <a:lstStyle/>
              <a:p>
                <a:pPr>
                  <a:defRPr sz="1200" b="0" i="0" u="none" strike="noStrike" kern="1200" baseline="0">
                    <a:solidFill>
                      <a:sysClr val="windowText" lastClr="000000"/>
                    </a:solidFill>
                    <a:latin typeface="+mn-lt"/>
                    <a:ea typeface="+mn-ea"/>
                    <a:cs typeface="+mn-cs"/>
                  </a:defRPr>
                </a:pPr>
                <a:endParaRPr lang="en-US"/>
              </a:p>
            </c:txPr>
          </c:dispUnitsLbl>
        </c:dispUnits>
      </c:valAx>
      <c:catAx>
        <c:axId val="527732575"/>
        <c:scaling>
          <c:orientation val="minMax"/>
        </c:scaling>
        <c:delete val="1"/>
        <c:axPos val="b"/>
        <c:numFmt formatCode="General" sourceLinked="1"/>
        <c:majorTickMark val="out"/>
        <c:minorTickMark val="none"/>
        <c:tickLblPos val="nextTo"/>
        <c:crossAx val="527564895"/>
        <c:crosses val="autoZero"/>
        <c:auto val="1"/>
        <c:lblAlgn val="ctr"/>
        <c:lblOffset val="100"/>
        <c:noMultiLvlLbl val="0"/>
      </c:catAx>
      <c:spPr>
        <a:noFill/>
        <a:ln>
          <a:noFill/>
        </a:ln>
        <a:effectLst/>
      </c:spPr>
    </c:plotArea>
    <c:legend>
      <c:legendPos val="t"/>
      <c:layout>
        <c:manualLayout>
          <c:xMode val="edge"/>
          <c:yMode val="edge"/>
          <c:x val="0.38341252087807215"/>
          <c:y val="9.1835016835016839E-2"/>
          <c:w val="0.22938707945597708"/>
          <c:h val="3.451774967522999E-2"/>
        </c:manualLayout>
      </c:layout>
      <c:overlay val="0"/>
      <c:spPr>
        <a:noFill/>
        <a:ln>
          <a:noFill/>
        </a:ln>
        <a:effectLst/>
      </c:spPr>
      <c:txPr>
        <a:bodyPr rot="0" spcFirstLastPara="1" vertOverflow="ellipsis" vert="horz" wrap="square" anchor="ctr" anchorCtr="1"/>
        <a:lstStyle/>
        <a:p>
          <a:pPr>
            <a:defRPr sz="1200" b="0" i="0" u="none" strike="noStrike" kern="1200" baseline="0">
              <a:solidFill>
                <a:sysClr val="windowText" lastClr="00000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sz="1200">
          <a:solidFill>
            <a:sysClr val="windowText" lastClr="000000"/>
          </a:solidFill>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2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114300</xdr:colOff>
      <xdr:row>0</xdr:row>
      <xdr:rowOff>139700</xdr:rowOff>
    </xdr:from>
    <xdr:to>
      <xdr:col>14</xdr:col>
      <xdr:colOff>584200</xdr:colOff>
      <xdr:row>37</xdr:row>
      <xdr:rowOff>114300</xdr:rowOff>
    </xdr:to>
    <xdr:graphicFrame macro="">
      <xdr:nvGraphicFramePr>
        <xdr:cNvPr id="2" name="Chart 1">
          <a:extLst>
            <a:ext uri="{FF2B5EF4-FFF2-40B4-BE49-F238E27FC236}">
              <a16:creationId xmlns:a16="http://schemas.microsoft.com/office/drawing/2014/main" id="{74C51996-2402-5D46-BE5A-C41A5F4BAB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1123950</xdr:colOff>
      <xdr:row>6</xdr:row>
      <xdr:rowOff>22143</xdr:rowOff>
    </xdr:from>
    <xdr:to>
      <xdr:col>5</xdr:col>
      <xdr:colOff>12700</xdr:colOff>
      <xdr:row>6</xdr:row>
      <xdr:rowOff>108692</xdr:rowOff>
    </xdr:to>
    <xdr:sp macro="" textlink="">
      <xdr:nvSpPr>
        <xdr:cNvPr id="4" name="Rectangle 3">
          <a:extLst>
            <a:ext uri="{FF2B5EF4-FFF2-40B4-BE49-F238E27FC236}">
              <a16:creationId xmlns:a16="http://schemas.microsoft.com/office/drawing/2014/main" id="{CCE3C34B-15C4-482F-7D3E-87C874DCF09C}"/>
            </a:ext>
          </a:extLst>
        </xdr:cNvPr>
        <xdr:cNvSpPr/>
      </xdr:nvSpPr>
      <xdr:spPr>
        <a:xfrm>
          <a:off x="4565650" y="1241343"/>
          <a:ext cx="247650" cy="86549"/>
        </a:xfrm>
        <a:prstGeom prst="rect">
          <a:avLst/>
        </a:prstGeom>
        <a:solidFill>
          <a:schemeClr val="bg1">
            <a:lumMod val="6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clientData/>
  </xdr:twoCellAnchor>
  <xdr:twoCellAnchor>
    <xdr:from>
      <xdr:col>4</xdr:col>
      <xdr:colOff>1302135</xdr:colOff>
      <xdr:row>5</xdr:row>
      <xdr:rowOff>114583</xdr:rowOff>
    </xdr:from>
    <xdr:to>
      <xdr:col>6</xdr:col>
      <xdr:colOff>762000</xdr:colOff>
      <xdr:row>7</xdr:row>
      <xdr:rowOff>0</xdr:rowOff>
    </xdr:to>
    <xdr:sp macro="" textlink="">
      <xdr:nvSpPr>
        <xdr:cNvPr id="5" name="TextBox 4">
          <a:extLst>
            <a:ext uri="{FF2B5EF4-FFF2-40B4-BE49-F238E27FC236}">
              <a16:creationId xmlns:a16="http://schemas.microsoft.com/office/drawing/2014/main" id="{6171976F-425F-B792-837F-ECB8235578D6}"/>
            </a:ext>
          </a:extLst>
        </xdr:cNvPr>
        <xdr:cNvSpPr txBox="1"/>
      </xdr:nvSpPr>
      <xdr:spPr>
        <a:xfrm>
          <a:off x="4743835" y="1143283"/>
          <a:ext cx="1644265" cy="26641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kern="1200"/>
            <a:t>Projected Enrollment</a:t>
          </a:r>
        </a:p>
      </xdr:txBody>
    </xdr:sp>
    <xdr:clientData/>
  </xdr:twoCellAnchor>
  <xdr:twoCellAnchor>
    <xdr:from>
      <xdr:col>7</xdr:col>
      <xdr:colOff>186511</xdr:colOff>
      <xdr:row>5</xdr:row>
      <xdr:rowOff>102338</xdr:rowOff>
    </xdr:from>
    <xdr:to>
      <xdr:col>9</xdr:col>
      <xdr:colOff>368300</xdr:colOff>
      <xdr:row>6</xdr:row>
      <xdr:rowOff>165100</xdr:rowOff>
    </xdr:to>
    <xdr:sp macro="" textlink="">
      <xdr:nvSpPr>
        <xdr:cNvPr id="6" name="TextBox 5">
          <a:extLst>
            <a:ext uri="{FF2B5EF4-FFF2-40B4-BE49-F238E27FC236}">
              <a16:creationId xmlns:a16="http://schemas.microsoft.com/office/drawing/2014/main" id="{EF4B02EC-3378-5E4B-AD27-CD3CC6005DA9}"/>
            </a:ext>
          </a:extLst>
        </xdr:cNvPr>
        <xdr:cNvSpPr txBox="1"/>
      </xdr:nvSpPr>
      <xdr:spPr>
        <a:xfrm>
          <a:off x="6638111" y="1131038"/>
          <a:ext cx="1832789" cy="25326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kern="1200"/>
            <a:t>Projected State Spending</a:t>
          </a:r>
        </a:p>
      </xdr:txBody>
    </xdr:sp>
    <xdr:clientData/>
  </xdr:twoCellAnchor>
  <xdr:twoCellAnchor>
    <xdr:from>
      <xdr:col>6</xdr:col>
      <xdr:colOff>769752</xdr:colOff>
      <xdr:row>6</xdr:row>
      <xdr:rowOff>30140</xdr:rowOff>
    </xdr:from>
    <xdr:to>
      <xdr:col>7</xdr:col>
      <xdr:colOff>241135</xdr:colOff>
      <xdr:row>6</xdr:row>
      <xdr:rowOff>75859</xdr:rowOff>
    </xdr:to>
    <xdr:grpSp>
      <xdr:nvGrpSpPr>
        <xdr:cNvPr id="15" name="Group 14">
          <a:extLst>
            <a:ext uri="{FF2B5EF4-FFF2-40B4-BE49-F238E27FC236}">
              <a16:creationId xmlns:a16="http://schemas.microsoft.com/office/drawing/2014/main" id="{E670115F-78C6-353B-A076-7ED6A65C3952}"/>
            </a:ext>
          </a:extLst>
        </xdr:cNvPr>
        <xdr:cNvGrpSpPr/>
      </xdr:nvGrpSpPr>
      <xdr:grpSpPr>
        <a:xfrm>
          <a:off x="6395852" y="1249340"/>
          <a:ext cx="296883" cy="45719"/>
          <a:chOff x="6976753" y="1327727"/>
          <a:chExt cx="296883" cy="45719"/>
        </a:xfrm>
      </xdr:grpSpPr>
      <xdr:cxnSp macro="">
        <xdr:nvCxnSpPr>
          <xdr:cNvPr id="8" name="Straight Connector 7">
            <a:extLst>
              <a:ext uri="{FF2B5EF4-FFF2-40B4-BE49-F238E27FC236}">
                <a16:creationId xmlns:a16="http://schemas.microsoft.com/office/drawing/2014/main" id="{BE2C28FE-0647-2CD9-EBC4-7B5C8C1E3FC1}"/>
              </a:ext>
            </a:extLst>
          </xdr:cNvPr>
          <xdr:cNvCxnSpPr/>
        </xdr:nvCxnSpPr>
        <xdr:spPr>
          <a:xfrm>
            <a:off x="6976753" y="1352466"/>
            <a:ext cx="296883" cy="0"/>
          </a:xfrm>
          <a:prstGeom prst="line">
            <a:avLst/>
          </a:prstGeom>
          <a:ln w="19050">
            <a:solidFill>
              <a:schemeClr val="tx1"/>
            </a:solidFill>
            <a:prstDash val="dash"/>
          </a:ln>
        </xdr:spPr>
        <xdr:style>
          <a:lnRef idx="1">
            <a:schemeClr val="accent1"/>
          </a:lnRef>
          <a:fillRef idx="0">
            <a:schemeClr val="accent1"/>
          </a:fillRef>
          <a:effectRef idx="0">
            <a:schemeClr val="accent1"/>
          </a:effectRef>
          <a:fontRef idx="minor">
            <a:schemeClr val="tx1"/>
          </a:fontRef>
        </xdr:style>
      </xdr:cxnSp>
      <xdr:sp macro="" textlink="">
        <xdr:nvSpPr>
          <xdr:cNvPr id="14" name="Oval 13">
            <a:extLst>
              <a:ext uri="{FF2B5EF4-FFF2-40B4-BE49-F238E27FC236}">
                <a16:creationId xmlns:a16="http://schemas.microsoft.com/office/drawing/2014/main" id="{C109EB46-FE5D-62E2-1F51-52534FCD9AEC}"/>
              </a:ext>
            </a:extLst>
          </xdr:cNvPr>
          <xdr:cNvSpPr/>
        </xdr:nvSpPr>
        <xdr:spPr>
          <a:xfrm>
            <a:off x="7100454" y="1327727"/>
            <a:ext cx="45719" cy="45719"/>
          </a:xfrm>
          <a:prstGeom prst="ellipse">
            <a:avLst/>
          </a:prstGeom>
          <a:solidFill>
            <a:schemeClr val="tx1"/>
          </a:solidFill>
          <a:ln>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kern="1200"/>
          </a:p>
        </xdr:txBody>
      </xdr:sp>
    </xdr:grpSp>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D7DA177-DADE-4043-9ADA-6081AE770CD2}" name="Table1" displayName="Table1" ref="A1:G12" totalsRowShown="0" headerRowDxfId="5">
  <autoFilter ref="A1:G12" xr:uid="{8D7DA177-DADE-4043-9ADA-6081AE770CD2}"/>
  <tableColumns count="7">
    <tableColumn id="1" xr3:uid="{5930A738-8B59-6A4E-919B-090BCB11A0AA}" name="Data  Type"/>
    <tableColumn id="2" xr3:uid="{BC5DD464-CE62-C145-9541-0E916FE9BF25}" name="Fiscal Year"/>
    <tableColumn id="3" xr3:uid="{1858EE94-CA04-2649-B52D-6343C025BC1C}" name="State Spending" dataDxfId="4"/>
    <tableColumn id="4" xr3:uid="{2A994CA5-E802-1241-A0A7-341CFD69AFD6}" name="Average Annual Enrollment" dataDxfId="3"/>
    <tableColumn id="5" xr3:uid="{410693AE-0DD9-F340-BB48-7F49D2049665}" name="Average Annual Enrollment Change %" dataDxfId="2" dataCellStyle="Percent"/>
    <tableColumn id="6" xr3:uid="{4B0D0AC8-F08E-7544-9AF6-BC3DA742F6F2}" name="Average Annual Spending per Enrollee" dataDxfId="1" dataCellStyle="Currency"/>
    <tableColumn id="7" xr3:uid="{F8434FAD-6E36-6344-9152-D139B9351C1D}" name="Average Annual Spending per Enrollee Annual Change %" dataDxfId="0"/>
  </tableColumns>
  <tableStyleInfo name="TableStyleLight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72258-4AC4-6B47-AC5E-CDE7A2651A1C}">
  <dimension ref="A1:Q42"/>
  <sheetViews>
    <sheetView showGridLines="0" tabSelected="1" zoomScaleNormal="100" workbookViewId="0">
      <selection activeCell="I25" sqref="I25"/>
    </sheetView>
  </sheetViews>
  <sheetFormatPr baseColWidth="10" defaultColWidth="8.83203125" defaultRowHeight="15" x14ac:dyDescent="0.2"/>
  <cols>
    <col min="1" max="1" width="17" customWidth="1"/>
    <col min="2" max="2" width="14.83203125" customWidth="1"/>
    <col min="3" max="11" width="14.6640625" customWidth="1"/>
    <col min="12" max="17" width="18" customWidth="1"/>
  </cols>
  <sheetData>
    <row r="1" spans="1:17" ht="23" x14ac:dyDescent="0.25">
      <c r="A1" s="57" t="s">
        <v>48</v>
      </c>
      <c r="B1" s="57"/>
      <c r="C1" s="57"/>
      <c r="D1" s="57"/>
      <c r="E1" s="57"/>
      <c r="F1" s="57"/>
      <c r="G1" s="57"/>
      <c r="H1" s="57"/>
      <c r="I1" s="57"/>
      <c r="J1" s="57"/>
      <c r="K1" s="57"/>
      <c r="L1" s="57"/>
      <c r="M1" s="57"/>
      <c r="N1" s="57"/>
      <c r="O1" s="57"/>
      <c r="P1" s="57"/>
      <c r="Q1" s="57"/>
    </row>
    <row r="2" spans="1:17" s="10" customFormat="1" ht="42" customHeight="1" x14ac:dyDescent="0.2">
      <c r="C2" s="58" t="s">
        <v>49</v>
      </c>
      <c r="D2" s="58"/>
      <c r="E2" s="58"/>
      <c r="F2" s="58"/>
      <c r="G2" s="58"/>
      <c r="H2" s="58"/>
      <c r="I2" s="59" t="s">
        <v>17</v>
      </c>
      <c r="J2" s="59"/>
      <c r="K2" s="59"/>
      <c r="L2" s="55" t="s">
        <v>3</v>
      </c>
      <c r="M2" s="55"/>
      <c r="N2" s="55"/>
      <c r="O2" s="56" t="s">
        <v>18</v>
      </c>
      <c r="P2" s="56"/>
      <c r="Q2" s="56"/>
    </row>
    <row r="3" spans="1:17" s="18" customFormat="1" ht="45" customHeight="1" x14ac:dyDescent="0.2">
      <c r="A3" s="19" t="s">
        <v>19</v>
      </c>
      <c r="B3" s="19" t="s">
        <v>1</v>
      </c>
      <c r="C3" s="19" t="s">
        <v>56</v>
      </c>
      <c r="D3" s="19" t="s">
        <v>55</v>
      </c>
      <c r="E3" s="19" t="s">
        <v>57</v>
      </c>
      <c r="F3" s="19" t="s">
        <v>58</v>
      </c>
      <c r="G3" s="19" t="s">
        <v>20</v>
      </c>
      <c r="H3" s="19" t="s">
        <v>47</v>
      </c>
      <c r="I3" s="19" t="s">
        <v>74</v>
      </c>
      <c r="J3" s="19" t="s">
        <v>2</v>
      </c>
      <c r="K3" s="19" t="s">
        <v>21</v>
      </c>
      <c r="L3" s="19" t="s">
        <v>35</v>
      </c>
      <c r="M3" s="19" t="s">
        <v>36</v>
      </c>
      <c r="N3" s="19" t="s">
        <v>4</v>
      </c>
      <c r="O3" s="19" t="s">
        <v>5</v>
      </c>
      <c r="P3" s="19" t="s">
        <v>6</v>
      </c>
      <c r="Q3" s="19" t="s">
        <v>22</v>
      </c>
    </row>
    <row r="4" spans="1:17" s="18" customFormat="1" ht="15" customHeight="1" x14ac:dyDescent="0.2">
      <c r="A4" s="20" t="s">
        <v>70</v>
      </c>
      <c r="B4" s="19"/>
      <c r="C4" s="22">
        <f>C5*(1+K4)</f>
        <v>873445.98163706099</v>
      </c>
      <c r="D4" s="22">
        <f>D5*(1+K4)</f>
        <v>162798.83506700632</v>
      </c>
      <c r="E4" s="22">
        <f>E5*(1+K4)</f>
        <v>5043985.1795152854</v>
      </c>
      <c r="F4" s="22">
        <f>G4*12</f>
        <v>5977491.537974895</v>
      </c>
      <c r="G4" s="22">
        <f>G5*(1+K4)</f>
        <v>498124.29483124125</v>
      </c>
      <c r="H4" s="26" t="s">
        <v>63</v>
      </c>
      <c r="I4" s="26" t="s">
        <v>63</v>
      </c>
      <c r="J4" s="22">
        <f>F4-F5</f>
        <v>426329.26273817942</v>
      </c>
      <c r="K4" s="24">
        <f>M25</f>
        <v>7.6799999999999993E-2</v>
      </c>
      <c r="L4" s="31">
        <f>O4*G4</f>
        <v>13447586616.427156</v>
      </c>
      <c r="M4" s="31">
        <f>L4-L5</f>
        <v>982797746.08767509</v>
      </c>
      <c r="N4" s="25">
        <f>M4/L5</f>
        <v>7.8845919999999833E-2</v>
      </c>
      <c r="O4" s="23">
        <f>(1+Q4)*O5</f>
        <v>26996.447986908657</v>
      </c>
      <c r="P4" s="23">
        <f>O4-O5</f>
        <v>51.195978815376293</v>
      </c>
      <c r="Q4" s="24">
        <f>M26</f>
        <v>1.9E-3</v>
      </c>
    </row>
    <row r="5" spans="1:17" s="18" customFormat="1" ht="15" customHeight="1" x14ac:dyDescent="0.2">
      <c r="A5" s="20" t="s">
        <v>66</v>
      </c>
      <c r="B5" s="19"/>
      <c r="C5" s="22">
        <f>C6*(1+K5)</f>
        <v>811149.68576993037</v>
      </c>
      <c r="D5" s="22">
        <f>D6*(1+K5)</f>
        <v>151187.6254336983</v>
      </c>
      <c r="E5" s="22">
        <f>E6*(1+K5)</f>
        <v>4684235.8650773456</v>
      </c>
      <c r="F5" s="22">
        <f t="shared" ref="F5:F7" si="0">G5*12</f>
        <v>5551162.2752367156</v>
      </c>
      <c r="G5" s="22">
        <f>G6*(1+K5)</f>
        <v>462596.8562697263</v>
      </c>
      <c r="H5" s="26" t="s">
        <v>63</v>
      </c>
      <c r="I5" s="26" t="s">
        <v>63</v>
      </c>
      <c r="J5" s="22">
        <f>F5-F6</f>
        <v>395922.42081926018</v>
      </c>
      <c r="K5" s="24">
        <f>L25</f>
        <v>7.6799999999999993E-2</v>
      </c>
      <c r="L5" s="31">
        <f>O5*G5</f>
        <v>12464788870.339481</v>
      </c>
      <c r="M5" s="31">
        <f t="shared" ref="M5:M6" si="1">L5-L6</f>
        <v>910971370.30251503</v>
      </c>
      <c r="N5" s="25">
        <f t="shared" ref="N5:N6" si="2">M5/L6</f>
        <v>7.8845920000000028E-2</v>
      </c>
      <c r="O5" s="23">
        <f t="shared" ref="O5:O6" si="3">(1+Q5)*O6</f>
        <v>26945.252008093281</v>
      </c>
      <c r="P5" s="23">
        <f t="shared" ref="P5:P6" si="4">O5-O6</f>
        <v>51.098890922625287</v>
      </c>
      <c r="Q5" s="24">
        <f>L26</f>
        <v>1.9E-3</v>
      </c>
    </row>
    <row r="6" spans="1:17" s="18" customFormat="1" ht="15" customHeight="1" x14ac:dyDescent="0.2">
      <c r="A6" s="20" t="s">
        <v>65</v>
      </c>
      <c r="B6" s="19"/>
      <c r="C6" s="22">
        <f>C7*(1+K6)</f>
        <v>753296.51353076741</v>
      </c>
      <c r="D6" s="22">
        <f>D7*(1+K6)</f>
        <v>140404.55556621312</v>
      </c>
      <c r="E6" s="22">
        <f>E7*(1+K6)</f>
        <v>4350144.7484002095</v>
      </c>
      <c r="F6" s="22">
        <f>G6*12</f>
        <v>5155239.8544174554</v>
      </c>
      <c r="G6" s="22">
        <f>G7*(1+K6)</f>
        <v>429603.32120145462</v>
      </c>
      <c r="H6" s="26" t="s">
        <v>63</v>
      </c>
      <c r="I6" s="26" t="s">
        <v>63</v>
      </c>
      <c r="J6" s="22">
        <f>F6-F7</f>
        <v>367684.26896290947</v>
      </c>
      <c r="K6" s="24">
        <f>K25</f>
        <v>7.6799999999999993E-2</v>
      </c>
      <c r="L6" s="31">
        <f t="shared" ref="L6" si="5">O6*G6</f>
        <v>11553817500.036966</v>
      </c>
      <c r="M6" s="31">
        <f t="shared" si="1"/>
        <v>844394323.05821228</v>
      </c>
      <c r="N6" s="25">
        <f t="shared" si="2"/>
        <v>7.8845919999999958E-2</v>
      </c>
      <c r="O6" s="23">
        <f t="shared" si="3"/>
        <v>26894.153117170656</v>
      </c>
      <c r="P6" s="23">
        <f t="shared" si="4"/>
        <v>51.001987147046748</v>
      </c>
      <c r="Q6" s="24">
        <f>K26</f>
        <v>1.9E-3</v>
      </c>
    </row>
    <row r="7" spans="1:17" x14ac:dyDescent="0.2">
      <c r="A7" s="20" t="s">
        <v>64</v>
      </c>
      <c r="B7" s="21"/>
      <c r="C7" s="22">
        <f>C8*(1+K7)</f>
        <v>699569.57051520003</v>
      </c>
      <c r="D7" s="22">
        <f>D8*(1+K7)</f>
        <v>130390.5605184</v>
      </c>
      <c r="E7" s="22">
        <f>E8*(1+K7)</f>
        <v>4039881.8242943999</v>
      </c>
      <c r="F7" s="22">
        <f t="shared" si="0"/>
        <v>4787555.5854545459</v>
      </c>
      <c r="G7" s="22">
        <f>G8*(1+K7)</f>
        <v>398962.96545454551</v>
      </c>
      <c r="H7" s="26" t="s">
        <v>63</v>
      </c>
      <c r="I7" s="26" t="s">
        <v>63</v>
      </c>
      <c r="J7" s="22">
        <f>F7-F8</f>
        <v>260724.67636363674</v>
      </c>
      <c r="K7" s="24">
        <f>J25</f>
        <v>7.6799999999999993E-2</v>
      </c>
      <c r="L7" s="31">
        <f>O7*G7</f>
        <v>10709423176.978754</v>
      </c>
      <c r="M7" s="31">
        <f>L7-L8</f>
        <v>782682964.64263725</v>
      </c>
      <c r="N7" s="25">
        <f>M7/L8</f>
        <v>7.8845920000000083E-2</v>
      </c>
      <c r="O7" s="23">
        <f>(1+Q7)*O8</f>
        <v>26843.151130023609</v>
      </c>
      <c r="P7" s="23">
        <f>O7-O8</f>
        <v>50.905267139478383</v>
      </c>
      <c r="Q7" s="24">
        <f>J26</f>
        <v>1.9E-3</v>
      </c>
    </row>
    <row r="8" spans="1:17" x14ac:dyDescent="0.2">
      <c r="A8" s="20" t="s">
        <v>71</v>
      </c>
      <c r="B8" s="21"/>
      <c r="C8" s="22">
        <f>C10*(1+K8)</f>
        <v>649674.56400000001</v>
      </c>
      <c r="D8" s="22">
        <f>D10*(1+K8)</f>
        <v>121090.788</v>
      </c>
      <c r="E8" s="22">
        <f>E10*(1+K8)</f>
        <v>3751747.608</v>
      </c>
      <c r="F8" s="22">
        <f>F9/(B9/12)</f>
        <v>4526830.9090909092</v>
      </c>
      <c r="G8" s="22">
        <f>((F8+F10)/2)/12</f>
        <v>370507.95454545459</v>
      </c>
      <c r="H8" s="22">
        <f>F8/12</f>
        <v>377235.90909090912</v>
      </c>
      <c r="I8" s="26" t="s">
        <v>63</v>
      </c>
      <c r="J8" s="22">
        <f>F8-F10</f>
        <v>161470.90909090918</v>
      </c>
      <c r="K8" s="24">
        <f>I25</f>
        <v>3.6000000000000004E-2</v>
      </c>
      <c r="L8" s="31">
        <f>O8*G8</f>
        <v>9926740212.3361168</v>
      </c>
      <c r="M8" s="31">
        <f>L8-L10</f>
        <v>198740212.33611679</v>
      </c>
      <c r="N8" s="25">
        <f>M8/L10</f>
        <v>2.0429709327314638E-2</v>
      </c>
      <c r="O8" s="23">
        <f>(1+Q8)*O10</f>
        <v>26792.24586288413</v>
      </c>
      <c r="P8" s="23">
        <f>O8-O10</f>
        <v>50.808730551430926</v>
      </c>
      <c r="Q8" s="24">
        <f>I26</f>
        <v>1.9E-3</v>
      </c>
    </row>
    <row r="9" spans="1:17" x14ac:dyDescent="0.2">
      <c r="A9" s="20" t="s">
        <v>68</v>
      </c>
      <c r="B9" s="21">
        <v>11</v>
      </c>
      <c r="C9" s="22">
        <v>772710</v>
      </c>
      <c r="D9" s="22">
        <v>107170</v>
      </c>
      <c r="E9" s="22">
        <v>3269715</v>
      </c>
      <c r="F9" s="22">
        <v>4149595</v>
      </c>
      <c r="G9" s="22">
        <v>377235.909090909</v>
      </c>
      <c r="H9" s="22">
        <v>376949</v>
      </c>
      <c r="I9" s="53">
        <v>7.3408829815049001E-4</v>
      </c>
      <c r="J9" s="47" t="s">
        <v>63</v>
      </c>
      <c r="K9" s="26" t="s">
        <v>63</v>
      </c>
      <c r="L9" s="26" t="s">
        <v>63</v>
      </c>
      <c r="M9" s="26" t="s">
        <v>63</v>
      </c>
      <c r="N9" s="26" t="s">
        <v>63</v>
      </c>
      <c r="O9" s="26" t="s">
        <v>63</v>
      </c>
      <c r="P9" s="26" t="s">
        <v>63</v>
      </c>
      <c r="Q9" s="26" t="s">
        <v>63</v>
      </c>
    </row>
    <row r="10" spans="1:17" x14ac:dyDescent="0.2">
      <c r="A10" s="20" t="s">
        <v>69</v>
      </c>
      <c r="B10" s="21">
        <v>12</v>
      </c>
      <c r="C10" s="22">
        <v>627099</v>
      </c>
      <c r="D10" s="22">
        <v>116883</v>
      </c>
      <c r="E10" s="22">
        <v>3621378</v>
      </c>
      <c r="F10" s="22">
        <v>4365360</v>
      </c>
      <c r="G10" s="22">
        <v>363780</v>
      </c>
      <c r="H10" s="22">
        <v>373961</v>
      </c>
      <c r="I10" s="53">
        <v>1.06536426565819E-2</v>
      </c>
      <c r="J10" s="22">
        <v>465499</v>
      </c>
      <c r="K10" s="48">
        <v>0.11936297216746899</v>
      </c>
      <c r="L10" s="31">
        <v>9728000000</v>
      </c>
      <c r="M10" s="31">
        <v>863000000</v>
      </c>
      <c r="N10" s="25">
        <v>9.7349125775521697E-2</v>
      </c>
      <c r="O10" s="23">
        <v>26741.4371323327</v>
      </c>
      <c r="P10" s="23">
        <v>-536.45815675577899</v>
      </c>
      <c r="Q10" s="25">
        <v>-1.9666405749800199E-2</v>
      </c>
    </row>
    <row r="11" spans="1:17" x14ac:dyDescent="0.2">
      <c r="A11" s="20" t="s">
        <v>23</v>
      </c>
      <c r="B11" s="21">
        <v>12</v>
      </c>
      <c r="C11" s="22">
        <v>495854</v>
      </c>
      <c r="D11" s="22">
        <v>111731</v>
      </c>
      <c r="E11" s="22">
        <v>3292276</v>
      </c>
      <c r="F11" s="22">
        <v>3899861</v>
      </c>
      <c r="G11" s="22">
        <v>324988.41666666599</v>
      </c>
      <c r="H11" s="22">
        <v>333060</v>
      </c>
      <c r="I11" s="53">
        <v>9.6832089430078806E-3</v>
      </c>
      <c r="J11" s="22">
        <v>367152</v>
      </c>
      <c r="K11" s="48">
        <v>0.10392930750877</v>
      </c>
      <c r="L11" s="31">
        <v>8865000000</v>
      </c>
      <c r="M11" s="31">
        <v>1251000000</v>
      </c>
      <c r="N11" s="25">
        <v>0.164302600472813</v>
      </c>
      <c r="O11" s="23">
        <v>27277.895289088501</v>
      </c>
      <c r="P11" s="23">
        <v>1414.45734387423</v>
      </c>
      <c r="Q11" s="25">
        <v>5.4689455704629499E-2</v>
      </c>
    </row>
    <row r="12" spans="1:17" x14ac:dyDescent="0.2">
      <c r="A12" s="20" t="s">
        <v>24</v>
      </c>
      <c r="B12" s="21">
        <v>12</v>
      </c>
      <c r="C12" s="22">
        <v>417691</v>
      </c>
      <c r="D12" s="22">
        <v>92371</v>
      </c>
      <c r="E12" s="22">
        <v>3022647</v>
      </c>
      <c r="F12" s="22">
        <v>3532709</v>
      </c>
      <c r="G12" s="22">
        <v>294392.41666666599</v>
      </c>
      <c r="H12" s="22">
        <v>300026</v>
      </c>
      <c r="I12" s="53">
        <v>5.7563574810133604E-3</v>
      </c>
      <c r="J12" s="22">
        <v>182444</v>
      </c>
      <c r="K12" s="48">
        <v>5.4456587762460498E-2</v>
      </c>
      <c r="L12" s="31">
        <v>7614000000</v>
      </c>
      <c r="M12" s="31">
        <v>-83000000</v>
      </c>
      <c r="N12" s="25">
        <v>-1.07834221125113E-2</v>
      </c>
      <c r="O12" s="23">
        <v>25863.437945214198</v>
      </c>
      <c r="P12" s="23">
        <v>-1705.7244941748399</v>
      </c>
      <c r="Q12" s="25">
        <v>-6.1870740466812603E-2</v>
      </c>
    </row>
    <row r="13" spans="1:17" x14ac:dyDescent="0.2">
      <c r="A13" s="20" t="s">
        <v>25</v>
      </c>
      <c r="B13" s="21">
        <v>12</v>
      </c>
      <c r="C13" s="22">
        <v>359128</v>
      </c>
      <c r="D13" s="22">
        <v>67561</v>
      </c>
      <c r="E13" s="22">
        <v>2923576</v>
      </c>
      <c r="F13" s="22">
        <v>3350265</v>
      </c>
      <c r="G13" s="22">
        <v>279188.75</v>
      </c>
      <c r="H13" s="22">
        <v>281667</v>
      </c>
      <c r="I13" s="53">
        <v>2.7813959491820102E-3</v>
      </c>
      <c r="J13" s="22">
        <v>58282</v>
      </c>
      <c r="K13" s="48">
        <v>1.7704222652425598E-2</v>
      </c>
      <c r="L13" s="31">
        <v>7697000000</v>
      </c>
      <c r="M13" s="31">
        <v>482000000</v>
      </c>
      <c r="N13" s="25">
        <v>6.68052668052668E-2</v>
      </c>
      <c r="O13" s="23">
        <v>27569.1624393891</v>
      </c>
      <c r="P13" s="23">
        <v>1268.9051172826601</v>
      </c>
      <c r="Q13" s="25">
        <v>4.8246870809742701E-2</v>
      </c>
    </row>
    <row r="14" spans="1:17" x14ac:dyDescent="0.2">
      <c r="A14" s="20" t="s">
        <v>26</v>
      </c>
      <c r="B14" s="21">
        <v>12</v>
      </c>
      <c r="C14" s="22">
        <v>274950</v>
      </c>
      <c r="D14" s="22">
        <v>66683</v>
      </c>
      <c r="E14" s="22">
        <v>2950350</v>
      </c>
      <c r="F14" s="22">
        <v>3291983</v>
      </c>
      <c r="G14" s="22">
        <v>274331.91666666599</v>
      </c>
      <c r="H14" s="22">
        <v>272732</v>
      </c>
      <c r="I14" s="53">
        <v>-2.4915131332300402E-4</v>
      </c>
      <c r="J14" s="22">
        <v>84031</v>
      </c>
      <c r="K14" s="48">
        <v>2.61945939340738E-2</v>
      </c>
      <c r="L14" s="31">
        <v>7215000000</v>
      </c>
      <c r="M14" s="31">
        <v>-550000000</v>
      </c>
      <c r="N14" s="25">
        <v>-7.0830650354153202E-2</v>
      </c>
      <c r="O14" s="23">
        <v>26300.257322106401</v>
      </c>
      <c r="P14" s="23">
        <v>-2746.3119532442902</v>
      </c>
      <c r="Q14" s="25">
        <v>-9.4548582560999503E-2</v>
      </c>
    </row>
    <row r="15" spans="1:17" x14ac:dyDescent="0.2">
      <c r="A15" s="20" t="s">
        <v>27</v>
      </c>
      <c r="B15" s="21">
        <v>12</v>
      </c>
      <c r="C15" s="22">
        <v>212188</v>
      </c>
      <c r="D15" s="22">
        <v>69079</v>
      </c>
      <c r="E15" s="22">
        <v>2926685</v>
      </c>
      <c r="F15" s="22">
        <v>3207952</v>
      </c>
      <c r="G15" s="22">
        <v>267329.33333333302</v>
      </c>
      <c r="H15" s="22">
        <v>274097</v>
      </c>
      <c r="I15" s="53">
        <v>1.15463267044202E-2</v>
      </c>
      <c r="J15" s="22">
        <v>391595</v>
      </c>
      <c r="K15" s="48">
        <v>0.13904309716417301</v>
      </c>
      <c r="L15" s="31">
        <v>7765000000</v>
      </c>
      <c r="M15" s="31">
        <v>1480000000</v>
      </c>
      <c r="N15" s="25">
        <v>0.235481304693715</v>
      </c>
      <c r="O15" s="23">
        <v>29046.569275350699</v>
      </c>
      <c r="P15" s="23">
        <v>2267.2937786718799</v>
      </c>
      <c r="Q15" s="25">
        <v>8.4665986536979806E-2</v>
      </c>
    </row>
    <row r="16" spans="1:17" x14ac:dyDescent="0.2">
      <c r="A16" s="20" t="s">
        <v>28</v>
      </c>
      <c r="B16" s="21">
        <v>12</v>
      </c>
      <c r="C16" s="22">
        <v>147375</v>
      </c>
      <c r="D16" s="22">
        <v>68798</v>
      </c>
      <c r="E16" s="22">
        <v>2600184</v>
      </c>
      <c r="F16" s="22">
        <v>2816357</v>
      </c>
      <c r="G16" s="22">
        <v>234696.41666666599</v>
      </c>
      <c r="H16" s="22">
        <v>242484</v>
      </c>
      <c r="I16" s="53">
        <v>1.2904331091802701E-2</v>
      </c>
      <c r="J16" s="22">
        <v>358795</v>
      </c>
      <c r="K16" s="48">
        <v>0.14599631667481799</v>
      </c>
      <c r="L16" s="31">
        <v>6285000000</v>
      </c>
      <c r="M16" s="31">
        <v>473000000</v>
      </c>
      <c r="N16" s="25">
        <v>8.1383344803853994E-2</v>
      </c>
      <c r="O16" s="23">
        <v>26779.275496678802</v>
      </c>
      <c r="P16" s="23">
        <v>-1600.0695615536299</v>
      </c>
      <c r="Q16" s="25">
        <v>-5.6381483021204402E-2</v>
      </c>
    </row>
    <row r="17" spans="1:17" x14ac:dyDescent="0.2">
      <c r="A17" s="20" t="s">
        <v>29</v>
      </c>
      <c r="B17" s="21">
        <v>12</v>
      </c>
      <c r="C17" s="22">
        <v>102662</v>
      </c>
      <c r="D17" s="22">
        <v>68264</v>
      </c>
      <c r="E17" s="22">
        <v>2286636</v>
      </c>
      <c r="F17" s="22">
        <v>2457562</v>
      </c>
      <c r="G17" s="22">
        <v>204796.83333333299</v>
      </c>
      <c r="H17" s="22">
        <v>211642</v>
      </c>
      <c r="I17" s="53">
        <v>1.43963315484748E-2</v>
      </c>
      <c r="J17" s="22">
        <v>357018</v>
      </c>
      <c r="K17" s="48">
        <v>0.16996454251850901</v>
      </c>
      <c r="L17" s="31">
        <v>5812000000</v>
      </c>
      <c r="M17" s="31">
        <v>1200000000</v>
      </c>
      <c r="N17" s="25">
        <v>0.26019080659150001</v>
      </c>
      <c r="O17" s="23">
        <v>28379.345058232499</v>
      </c>
      <c r="P17" s="23">
        <v>2031.8845908488099</v>
      </c>
      <c r="Q17" s="25">
        <v>7.7118802146573004E-2</v>
      </c>
    </row>
    <row r="18" spans="1:17" x14ac:dyDescent="0.2">
      <c r="A18" s="20" t="s">
        <v>30</v>
      </c>
      <c r="B18" s="21">
        <v>12</v>
      </c>
      <c r="C18" s="22">
        <v>75216</v>
      </c>
      <c r="D18" s="22">
        <v>67232</v>
      </c>
      <c r="E18" s="22">
        <v>1958096</v>
      </c>
      <c r="F18" s="22">
        <v>2100544</v>
      </c>
      <c r="G18" s="22">
        <v>175045.33333333299</v>
      </c>
      <c r="H18" s="22">
        <v>182251</v>
      </c>
      <c r="I18" s="53">
        <v>1.9703822998225699E-2</v>
      </c>
      <c r="J18" s="22">
        <v>364480</v>
      </c>
      <c r="K18" s="48">
        <v>0.20994617709946101</v>
      </c>
      <c r="L18" s="31">
        <v>4612000000</v>
      </c>
      <c r="M18" s="31">
        <v>819000000</v>
      </c>
      <c r="N18" s="25">
        <v>0.21592407065647201</v>
      </c>
      <c r="O18" s="23">
        <v>26347.4604673836</v>
      </c>
      <c r="P18" s="23">
        <v>129.533017704412</v>
      </c>
      <c r="Q18" s="25">
        <v>4.9406276660513403E-3</v>
      </c>
    </row>
    <row r="19" spans="1:17" x14ac:dyDescent="0.2">
      <c r="A19" s="20" t="s">
        <v>31</v>
      </c>
      <c r="B19" s="21">
        <v>12</v>
      </c>
      <c r="C19" s="22">
        <v>72207</v>
      </c>
      <c r="D19" s="22">
        <v>65801</v>
      </c>
      <c r="E19" s="22">
        <v>1598056</v>
      </c>
      <c r="F19" s="22">
        <v>1736064</v>
      </c>
      <c r="G19" s="22">
        <v>144672</v>
      </c>
      <c r="H19" s="22">
        <v>149436</v>
      </c>
      <c r="I19" s="53">
        <v>7.2741559352159204E-3</v>
      </c>
      <c r="J19" s="22">
        <v>114229</v>
      </c>
      <c r="K19" s="48">
        <v>7.0431948996044602E-2</v>
      </c>
      <c r="L19" s="31">
        <v>3793000000</v>
      </c>
      <c r="M19" s="49">
        <v>322000000</v>
      </c>
      <c r="N19" s="25">
        <v>9.2768654566407302E-2</v>
      </c>
      <c r="O19" s="23">
        <v>26217.927449679199</v>
      </c>
      <c r="P19" s="23">
        <v>535.90677556630897</v>
      </c>
      <c r="Q19" s="25">
        <v>2.08670019531015E-2</v>
      </c>
    </row>
    <row r="20" spans="1:17" x14ac:dyDescent="0.2">
      <c r="A20" s="20" t="s">
        <v>32</v>
      </c>
      <c r="B20" s="21">
        <v>12</v>
      </c>
      <c r="C20" s="22">
        <v>68842</v>
      </c>
      <c r="D20" s="22">
        <v>67387</v>
      </c>
      <c r="E20" s="22">
        <v>1485606</v>
      </c>
      <c r="F20" s="22">
        <v>1621835</v>
      </c>
      <c r="G20" s="22">
        <v>135152.91666666599</v>
      </c>
      <c r="H20" s="22">
        <v>139204</v>
      </c>
      <c r="I20" s="53">
        <v>1.09662297978985E-2</v>
      </c>
      <c r="J20" s="47" t="s">
        <v>63</v>
      </c>
      <c r="K20" s="48" t="s">
        <v>63</v>
      </c>
      <c r="L20" s="31">
        <v>3471000000</v>
      </c>
      <c r="M20" s="49" t="s">
        <v>63</v>
      </c>
      <c r="N20" s="48" t="s">
        <v>63</v>
      </c>
      <c r="O20" s="23">
        <v>25682.0206741129</v>
      </c>
      <c r="P20" s="26" t="s">
        <v>63</v>
      </c>
      <c r="Q20" s="48" t="s">
        <v>63</v>
      </c>
    </row>
    <row r="22" spans="1:17" ht="16" thickBot="1" x14ac:dyDescent="0.25">
      <c r="A22" s="27" t="s">
        <v>39</v>
      </c>
      <c r="I22" s="27" t="s">
        <v>73</v>
      </c>
      <c r="J22" s="27"/>
    </row>
    <row r="23" spans="1:17" ht="16" x14ac:dyDescent="0.2">
      <c r="A23" t="s">
        <v>72</v>
      </c>
      <c r="I23" s="3" t="s">
        <v>75</v>
      </c>
      <c r="J23" s="3"/>
    </row>
    <row r="24" spans="1:17" x14ac:dyDescent="0.2">
      <c r="A24" t="str">
        <f>_xlfn.CONCAT("(2) Full-year Enrollment 2026 Estimate Represents YTD annualized. Months in YTD = ",B9,".")</f>
        <v>(2) Full-year Enrollment 2026 Estimate Represents YTD annualized. Months in YTD = 11.</v>
      </c>
      <c r="I24" s="54" t="str">
        <f>LEFT(A8,4)</f>
        <v>FY26</v>
      </c>
      <c r="J24" s="54" t="str">
        <f>LEFT(A7,4)</f>
        <v>FY27</v>
      </c>
      <c r="K24" s="54" t="str">
        <f>LEFT(A6,4)</f>
        <v>FY28</v>
      </c>
      <c r="L24" s="54" t="str">
        <f>LEFT(A5,4)</f>
        <v>FY29</v>
      </c>
      <c r="M24" s="54" t="str">
        <f>LEFT(A4,4)</f>
        <v>FY30</v>
      </c>
    </row>
    <row r="25" spans="1:17" ht="16" x14ac:dyDescent="0.2">
      <c r="A25" t="str">
        <f>_xlfn.CONCAT("(3) FY26 full-year spending estimate is based an assumption of per capita spending growth = ",ROUND(J26*100,2),"%")</f>
        <v>(3) FY26 full-year spending estimate is based an assumption of per capita spending growth = 0.19%</v>
      </c>
      <c r="H25" s="54" t="s">
        <v>33</v>
      </c>
      <c r="I25" s="11">
        <f>0.003*12</f>
        <v>3.6000000000000004E-2</v>
      </c>
      <c r="J25" s="11">
        <v>7.6799999999999993E-2</v>
      </c>
      <c r="K25" s="11">
        <v>7.6799999999999993E-2</v>
      </c>
      <c r="L25" s="11">
        <v>7.6799999999999993E-2</v>
      </c>
      <c r="M25" s="11">
        <v>7.6799999999999993E-2</v>
      </c>
    </row>
    <row r="26" spans="1:17" ht="16" x14ac:dyDescent="0.2">
      <c r="H26" s="54" t="s">
        <v>34</v>
      </c>
      <c r="I26" s="11">
        <v>1.9E-3</v>
      </c>
      <c r="J26" s="11">
        <v>1.9E-3</v>
      </c>
      <c r="K26" s="11">
        <v>1.9E-3</v>
      </c>
      <c r="L26" s="11">
        <v>1.9E-3</v>
      </c>
      <c r="M26" s="11">
        <v>1.9E-3</v>
      </c>
    </row>
    <row r="29" spans="1:17" ht="16" thickBot="1" x14ac:dyDescent="0.25">
      <c r="A29" s="27" t="s">
        <v>40</v>
      </c>
    </row>
    <row r="30" spans="1:17" x14ac:dyDescent="0.2">
      <c r="A30" t="s">
        <v>41</v>
      </c>
    </row>
    <row r="31" spans="1:17" x14ac:dyDescent="0.2">
      <c r="A31" t="s">
        <v>50</v>
      </c>
    </row>
    <row r="32" spans="1:17" x14ac:dyDescent="0.2">
      <c r="A32" t="s">
        <v>42</v>
      </c>
    </row>
    <row r="33" spans="1:1" x14ac:dyDescent="0.2">
      <c r="A33" t="s">
        <v>51</v>
      </c>
    </row>
    <row r="34" spans="1:1" x14ac:dyDescent="0.2">
      <c r="A34" t="s">
        <v>76</v>
      </c>
    </row>
    <row r="35" spans="1:1" x14ac:dyDescent="0.2">
      <c r="A35" t="s">
        <v>43</v>
      </c>
    </row>
    <row r="36" spans="1:1" x14ac:dyDescent="0.2">
      <c r="A36" t="s">
        <v>44</v>
      </c>
    </row>
    <row r="37" spans="1:1" x14ac:dyDescent="0.2">
      <c r="A37" t="s">
        <v>52</v>
      </c>
    </row>
    <row r="38" spans="1:1" x14ac:dyDescent="0.2">
      <c r="A38" t="s">
        <v>53</v>
      </c>
    </row>
    <row r="39" spans="1:1" x14ac:dyDescent="0.2">
      <c r="A39" t="s">
        <v>62</v>
      </c>
    </row>
    <row r="40" spans="1:1" x14ac:dyDescent="0.2">
      <c r="A40" t="s">
        <v>54</v>
      </c>
    </row>
    <row r="41" spans="1:1" x14ac:dyDescent="0.2">
      <c r="A41" t="s">
        <v>45</v>
      </c>
    </row>
    <row r="42" spans="1:1" x14ac:dyDescent="0.2">
      <c r="A42" t="s">
        <v>46</v>
      </c>
    </row>
  </sheetData>
  <sortState xmlns:xlrd2="http://schemas.microsoft.com/office/spreadsheetml/2017/richdata2" ref="A7:Q20">
    <sortCondition descending="1" ref="A9:A20"/>
  </sortState>
  <mergeCells count="5">
    <mergeCell ref="L2:N2"/>
    <mergeCell ref="O2:Q2"/>
    <mergeCell ref="A1:Q1"/>
    <mergeCell ref="C2:H2"/>
    <mergeCell ref="I2:K2"/>
  </mergeCells>
  <pageMargins left="0.7" right="0.7" top="0.75" bottom="0.75" header="0.3" footer="0.3"/>
  <ignoredErrors>
    <ignoredError sqref="F4:F8" formula="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834489-6A8B-8940-A269-14EDFF4979BF}">
  <dimension ref="A1:U45"/>
  <sheetViews>
    <sheetView showGridLines="0" workbookViewId="0">
      <selection activeCell="P24" sqref="P24"/>
    </sheetView>
  </sheetViews>
  <sheetFormatPr baseColWidth="10" defaultColWidth="0" defaultRowHeight="15" zeroHeight="1" x14ac:dyDescent="0.2"/>
  <cols>
    <col min="1" max="1" width="10.83203125" customWidth="1"/>
    <col min="2" max="2" width="12.6640625" bestFit="1" customWidth="1"/>
    <col min="3" max="4" width="10.83203125" customWidth="1"/>
    <col min="5" max="5" width="17.83203125" bestFit="1" customWidth="1"/>
    <col min="6" max="15" width="10.83203125" customWidth="1"/>
    <col min="16" max="16" width="11.1640625" customWidth="1"/>
    <col min="17" max="17" width="13.33203125" customWidth="1"/>
    <col min="18" max="18" width="11.5" customWidth="1"/>
    <col min="19" max="19" width="16.83203125" customWidth="1"/>
    <col min="20" max="20" width="10.83203125" customWidth="1"/>
    <col min="21" max="21" width="0" hidden="1" customWidth="1"/>
    <col min="22" max="16384" width="10.83203125" hidden="1"/>
  </cols>
  <sheetData>
    <row r="1" spans="16:19" ht="16" thickBot="1" x14ac:dyDescent="0.25"/>
    <row r="2" spans="16:19" ht="18" thickBot="1" x14ac:dyDescent="0.25">
      <c r="P2" s="69" t="s">
        <v>9</v>
      </c>
      <c r="Q2" s="70"/>
      <c r="R2" s="70"/>
      <c r="S2" s="71"/>
    </row>
    <row r="3" spans="16:19" ht="16" thickTop="1" x14ac:dyDescent="0.2">
      <c r="P3" s="72" t="s">
        <v>37</v>
      </c>
      <c r="Q3" s="73"/>
      <c r="R3" s="73"/>
      <c r="S3" s="74"/>
    </row>
    <row r="4" spans="16:19" x14ac:dyDescent="0.2">
      <c r="P4" s="13"/>
      <c r="Q4" s="40"/>
      <c r="R4" s="40"/>
      <c r="S4" s="14"/>
    </row>
    <row r="5" spans="16:19" ht="16" thickBot="1" x14ac:dyDescent="0.25">
      <c r="P5" s="66" t="s">
        <v>20</v>
      </c>
      <c r="Q5" s="67"/>
      <c r="R5" s="67"/>
      <c r="S5" s="68"/>
    </row>
    <row r="6" spans="16:19" x14ac:dyDescent="0.2">
      <c r="P6" s="6" t="s">
        <v>10</v>
      </c>
      <c r="Q6" s="16">
        <f>AVERAGE(projection_data!E12)</f>
        <v>0.11936297216746899</v>
      </c>
      <c r="R6" s="16"/>
      <c r="S6" s="14"/>
    </row>
    <row r="7" spans="16:19" x14ac:dyDescent="0.2">
      <c r="P7" s="6" t="s">
        <v>11</v>
      </c>
      <c r="Q7" s="16">
        <f>AVERAGE(projection_data!E10:E12)</f>
        <v>9.2582955812899867E-2</v>
      </c>
      <c r="R7" s="16"/>
      <c r="S7" s="14"/>
    </row>
    <row r="8" spans="16:19" x14ac:dyDescent="0.2">
      <c r="P8" s="6" t="s">
        <v>12</v>
      </c>
      <c r="Q8" s="16">
        <f>AVERAGE(projection_data!E7:E12)</f>
        <v>7.6781796864895321E-2</v>
      </c>
      <c r="R8" s="16"/>
      <c r="S8" s="14"/>
    </row>
    <row r="9" spans="16:19" x14ac:dyDescent="0.2">
      <c r="P9" s="13"/>
      <c r="Q9" s="40"/>
      <c r="R9" s="40"/>
      <c r="S9" s="14"/>
    </row>
    <row r="10" spans="16:19" ht="16" thickBot="1" x14ac:dyDescent="0.25">
      <c r="P10" s="66" t="s">
        <v>59</v>
      </c>
      <c r="Q10" s="67"/>
      <c r="R10" s="67"/>
      <c r="S10" s="68"/>
    </row>
    <row r="11" spans="16:19" x14ac:dyDescent="0.2">
      <c r="P11" s="6" t="s">
        <v>10</v>
      </c>
      <c r="Q11" s="41">
        <f>AVERAGE(projection_data!G12)</f>
        <v>-1.9666405749800199E-2</v>
      </c>
      <c r="R11" s="41"/>
      <c r="S11" s="14"/>
    </row>
    <row r="12" spans="16:19" x14ac:dyDescent="0.2">
      <c r="P12" s="6" t="s">
        <v>11</v>
      </c>
      <c r="Q12" s="41">
        <f>AVERAGE(projection_data!G10:G12)</f>
        <v>-8.9492301706611006E-3</v>
      </c>
      <c r="R12" s="41"/>
      <c r="S12" s="14"/>
    </row>
    <row r="13" spans="16:19" x14ac:dyDescent="0.2">
      <c r="P13" s="6" t="s">
        <v>12</v>
      </c>
      <c r="Q13" s="41">
        <f>AVERAGE(projection_data!G7:G12)</f>
        <v>1.9194307122899501E-3</v>
      </c>
      <c r="R13" s="41"/>
      <c r="S13" s="14"/>
    </row>
    <row r="14" spans="16:19" x14ac:dyDescent="0.2">
      <c r="P14" s="13"/>
      <c r="Q14" s="40"/>
      <c r="R14" s="40"/>
      <c r="S14" s="14"/>
    </row>
    <row r="15" spans="16:19" ht="18" thickBot="1" x14ac:dyDescent="0.25">
      <c r="P15" s="63" t="s">
        <v>8</v>
      </c>
      <c r="Q15" s="64"/>
      <c r="R15" s="64"/>
      <c r="S15" s="65"/>
    </row>
    <row r="16" spans="16:19" ht="16" thickTop="1" x14ac:dyDescent="0.2">
      <c r="P16" s="36" t="s">
        <v>13</v>
      </c>
      <c r="Q16" s="40"/>
      <c r="R16" s="40"/>
      <c r="S16" s="14"/>
    </row>
    <row r="17" spans="16:19" ht="16" customHeight="1" x14ac:dyDescent="0.2">
      <c r="P17" s="60" t="s">
        <v>67</v>
      </c>
      <c r="Q17" s="61"/>
      <c r="R17" s="61"/>
      <c r="S17" s="62"/>
    </row>
    <row r="18" spans="16:19" x14ac:dyDescent="0.2">
      <c r="P18" s="60"/>
      <c r="Q18" s="61"/>
      <c r="R18" s="61"/>
      <c r="S18" s="62"/>
    </row>
    <row r="19" spans="16:19" ht="16" thickBot="1" x14ac:dyDescent="0.25">
      <c r="P19" s="15" t="s">
        <v>20</v>
      </c>
      <c r="Q19" s="40"/>
      <c r="R19" s="39" t="s">
        <v>60</v>
      </c>
      <c r="S19" s="14"/>
    </row>
    <row r="20" spans="16:19" ht="16" x14ac:dyDescent="0.2">
      <c r="P20" s="12">
        <v>7.6799999999999993E-2</v>
      </c>
      <c r="Q20" s="3"/>
      <c r="R20" s="44">
        <v>1.9E-3</v>
      </c>
      <c r="S20" s="5"/>
    </row>
    <row r="21" spans="16:19" x14ac:dyDescent="0.2">
      <c r="P21" s="4"/>
      <c r="S21" s="5"/>
    </row>
    <row r="22" spans="16:19" x14ac:dyDescent="0.2">
      <c r="P22" s="36" t="s">
        <v>61</v>
      </c>
      <c r="S22" s="5"/>
    </row>
    <row r="23" spans="16:19" ht="33" thickBot="1" x14ac:dyDescent="0.25">
      <c r="P23" s="37" t="s">
        <v>19</v>
      </c>
      <c r="Q23" s="42" t="s">
        <v>20</v>
      </c>
      <c r="R23" s="42" t="s">
        <v>18</v>
      </c>
      <c r="S23" s="38" t="s">
        <v>3</v>
      </c>
    </row>
    <row r="24" spans="16:19" ht="16" x14ac:dyDescent="0.2">
      <c r="P24" s="7" t="str" cm="1">
        <f t="array" ref="P24:P28">projection_data!B13:B17</f>
        <v>FY26</v>
      </c>
      <c r="Q24" s="43" cm="1">
        <f t="array" ref="Q24:Q28">projection_data!D13:D17</f>
        <v>391718.304</v>
      </c>
      <c r="R24" s="32" cm="1">
        <f t="array" ref="R24:R28">projection_data!F13:F17</f>
        <v>26792.24586288413</v>
      </c>
      <c r="S24" s="34" cm="1">
        <f t="array" ref="S24:S28">projection_data!C13:C17</f>
        <v>10495013109.759989</v>
      </c>
    </row>
    <row r="25" spans="16:19" ht="16" customHeight="1" x14ac:dyDescent="0.2">
      <c r="P25" s="7" t="str">
        <v>FY27</v>
      </c>
      <c r="Q25" s="43">
        <v>421802.26974720001</v>
      </c>
      <c r="R25" s="32">
        <v>26843.151130023609</v>
      </c>
      <c r="S25" s="34">
        <v>11322502073.811075</v>
      </c>
    </row>
    <row r="26" spans="16:19" ht="16" x14ac:dyDescent="0.2">
      <c r="P26" s="7" t="str">
        <v>FY28</v>
      </c>
      <c r="Q26" s="43">
        <v>454196.68406378495</v>
      </c>
      <c r="R26" s="32">
        <v>26894.153117170656</v>
      </c>
      <c r="S26" s="34">
        <v>12215235166.522617</v>
      </c>
    </row>
    <row r="27" spans="16:19" ht="16" x14ac:dyDescent="0.2">
      <c r="P27" s="7" t="str">
        <v>FY29</v>
      </c>
      <c r="Q27" s="43">
        <v>489078.98939988361</v>
      </c>
      <c r="R27" s="32">
        <v>26945.252008093281</v>
      </c>
      <c r="S27" s="34">
        <v>13178356621.243446</v>
      </c>
    </row>
    <row r="28" spans="16:19" ht="17" thickBot="1" x14ac:dyDescent="0.25">
      <c r="P28" s="8" t="str">
        <v>FY30</v>
      </c>
      <c r="Q28" s="9">
        <v>526640.2557857947</v>
      </c>
      <c r="R28" s="33">
        <v>26996.447986908657</v>
      </c>
      <c r="S28" s="35">
        <v>14217416273.133478</v>
      </c>
    </row>
    <row r="29" spans="16:19" x14ac:dyDescent="0.2"/>
    <row r="30" spans="16:19" x14ac:dyDescent="0.2"/>
    <row r="31" spans="16:19" x14ac:dyDescent="0.2"/>
    <row r="32" spans="16:19" x14ac:dyDescent="0.2"/>
    <row r="33" x14ac:dyDescent="0.2"/>
    <row r="34" x14ac:dyDescent="0.2"/>
    <row r="35" x14ac:dyDescent="0.2"/>
    <row r="36" x14ac:dyDescent="0.2"/>
    <row r="37" x14ac:dyDescent="0.2"/>
    <row r="38" x14ac:dyDescent="0.2"/>
    <row r="39" x14ac:dyDescent="0.2"/>
    <row r="40" x14ac:dyDescent="0.2"/>
    <row r="41" x14ac:dyDescent="0.2"/>
    <row r="42" x14ac:dyDescent="0.2"/>
    <row r="43" x14ac:dyDescent="0.2"/>
    <row r="44" x14ac:dyDescent="0.2"/>
    <row r="45" x14ac:dyDescent="0.2"/>
  </sheetData>
  <sheetProtection sheet="1" objects="1" scenarios="1"/>
  <mergeCells count="6">
    <mergeCell ref="P17:S18"/>
    <mergeCell ref="P15:S15"/>
    <mergeCell ref="P10:S10"/>
    <mergeCell ref="P2:S2"/>
    <mergeCell ref="P3:S3"/>
    <mergeCell ref="P5:S5"/>
  </mergeCells>
  <phoneticPr fontId="12" type="noConversion"/>
  <pageMargins left="0.7" right="0.7" top="0.75" bottom="0.75" header="0.3" footer="0.3"/>
  <ignoredErrors>
    <ignoredError sqref="Q12:Q13 Q7:Q8"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EC6393-3785-8B4D-BC33-531ADF13ED6E}">
  <dimension ref="A1:G17"/>
  <sheetViews>
    <sheetView topLeftCell="A6" workbookViewId="0">
      <selection activeCell="D13" sqref="D13"/>
    </sheetView>
  </sheetViews>
  <sheetFormatPr baseColWidth="10" defaultColWidth="8.83203125" defaultRowHeight="15" x14ac:dyDescent="0.2"/>
  <cols>
    <col min="1" max="1" width="11.33203125" customWidth="1"/>
    <col min="2" max="2" width="11.5" customWidth="1"/>
    <col min="3" max="3" width="20" customWidth="1"/>
    <col min="4" max="4" width="31" bestFit="1" customWidth="1"/>
    <col min="5" max="5" width="32.33203125" customWidth="1"/>
    <col min="6" max="6" width="33" customWidth="1"/>
    <col min="7" max="7" width="46.5" customWidth="1"/>
  </cols>
  <sheetData>
    <row r="1" spans="1:7" s="45" customFormat="1" ht="16" x14ac:dyDescent="0.2">
      <c r="A1" s="45" t="s">
        <v>14</v>
      </c>
      <c r="B1" s="45" t="s">
        <v>0</v>
      </c>
      <c r="C1" s="45" t="s">
        <v>3</v>
      </c>
      <c r="D1" s="46" t="s">
        <v>20</v>
      </c>
      <c r="E1" s="46" t="s">
        <v>38</v>
      </c>
      <c r="F1" s="45" t="s">
        <v>5</v>
      </c>
      <c r="G1" s="45" t="s">
        <v>7</v>
      </c>
    </row>
    <row r="2" spans="1:7" x14ac:dyDescent="0.2">
      <c r="A2" t="s">
        <v>15</v>
      </c>
      <c r="B2" t="s">
        <v>32</v>
      </c>
      <c r="C2" s="2">
        <v>3471000000</v>
      </c>
      <c r="D2" s="1">
        <v>135152.91666666599</v>
      </c>
      <c r="E2" s="52" t="s">
        <v>63</v>
      </c>
      <c r="F2" s="50">
        <v>25682.0206741129</v>
      </c>
      <c r="G2" s="51" t="s">
        <v>63</v>
      </c>
    </row>
    <row r="3" spans="1:7" x14ac:dyDescent="0.2">
      <c r="A3" t="s">
        <v>15</v>
      </c>
      <c r="B3" t="s">
        <v>31</v>
      </c>
      <c r="C3" s="2">
        <v>3793000000</v>
      </c>
      <c r="D3" s="1">
        <v>144672</v>
      </c>
      <c r="E3" s="17">
        <v>7.0431948996044602E-2</v>
      </c>
      <c r="F3" s="50">
        <v>26217.927449679199</v>
      </c>
      <c r="G3" s="17">
        <v>2.08670019531015E-2</v>
      </c>
    </row>
    <row r="4" spans="1:7" x14ac:dyDescent="0.2">
      <c r="A4" t="s">
        <v>15</v>
      </c>
      <c r="B4" t="s">
        <v>30</v>
      </c>
      <c r="C4" s="2">
        <v>4612000000</v>
      </c>
      <c r="D4" s="1">
        <v>175045.33333333299</v>
      </c>
      <c r="E4" s="17">
        <v>0.20994617709946101</v>
      </c>
      <c r="F4" s="50">
        <v>26347.4604673836</v>
      </c>
      <c r="G4" s="17">
        <v>4.9406276660513403E-3</v>
      </c>
    </row>
    <row r="5" spans="1:7" x14ac:dyDescent="0.2">
      <c r="A5" t="s">
        <v>15</v>
      </c>
      <c r="B5" t="s">
        <v>29</v>
      </c>
      <c r="C5" s="2">
        <v>5812000000</v>
      </c>
      <c r="D5" s="1">
        <v>204796.83333333299</v>
      </c>
      <c r="E5" s="17">
        <v>0.16996454251850901</v>
      </c>
      <c r="F5" s="50">
        <v>28379.345058232499</v>
      </c>
      <c r="G5" s="17">
        <v>7.7118802146573004E-2</v>
      </c>
    </row>
    <row r="6" spans="1:7" x14ac:dyDescent="0.2">
      <c r="A6" t="s">
        <v>15</v>
      </c>
      <c r="B6" t="s">
        <v>28</v>
      </c>
      <c r="C6" s="2">
        <v>6285000000</v>
      </c>
      <c r="D6" s="1">
        <v>234696.41666666599</v>
      </c>
      <c r="E6" s="17">
        <v>0.14599631667481799</v>
      </c>
      <c r="F6" s="50">
        <v>26779.275496678802</v>
      </c>
      <c r="G6" s="17">
        <v>-5.6381483021204402E-2</v>
      </c>
    </row>
    <row r="7" spans="1:7" x14ac:dyDescent="0.2">
      <c r="A7" t="s">
        <v>15</v>
      </c>
      <c r="B7" t="s">
        <v>27</v>
      </c>
      <c r="C7" s="2">
        <v>7765000000</v>
      </c>
      <c r="D7" s="1">
        <v>267329.33333333302</v>
      </c>
      <c r="E7" s="17">
        <v>0.13904309716417301</v>
      </c>
      <c r="F7" s="50">
        <v>29046.569275350699</v>
      </c>
      <c r="G7" s="17">
        <v>8.4665986536979806E-2</v>
      </c>
    </row>
    <row r="8" spans="1:7" x14ac:dyDescent="0.2">
      <c r="A8" t="s">
        <v>15</v>
      </c>
      <c r="B8" t="s">
        <v>26</v>
      </c>
      <c r="C8" s="2">
        <v>7215000000</v>
      </c>
      <c r="D8" s="1">
        <v>274331.91666666599</v>
      </c>
      <c r="E8" s="17">
        <v>2.61945939340739E-2</v>
      </c>
      <c r="F8" s="50">
        <v>26300.257322106401</v>
      </c>
      <c r="G8" s="17">
        <v>-9.4548582560999503E-2</v>
      </c>
    </row>
    <row r="9" spans="1:7" x14ac:dyDescent="0.2">
      <c r="A9" t="s">
        <v>15</v>
      </c>
      <c r="B9" t="s">
        <v>25</v>
      </c>
      <c r="C9" s="2">
        <v>7697000000</v>
      </c>
      <c r="D9" s="1">
        <v>279188.75</v>
      </c>
      <c r="E9" s="17">
        <v>1.7704222652425501E-2</v>
      </c>
      <c r="F9" s="50">
        <v>27569.1624393891</v>
      </c>
      <c r="G9" s="17">
        <v>4.8246870809742701E-2</v>
      </c>
    </row>
    <row r="10" spans="1:7" x14ac:dyDescent="0.2">
      <c r="A10" t="s">
        <v>15</v>
      </c>
      <c r="B10" t="s">
        <v>24</v>
      </c>
      <c r="C10" s="2">
        <v>7614000000</v>
      </c>
      <c r="D10" s="1">
        <v>294392.41666666599</v>
      </c>
      <c r="E10" s="17">
        <v>5.4456587762460602E-2</v>
      </c>
      <c r="F10" s="50">
        <v>25863.437945214198</v>
      </c>
      <c r="G10" s="17">
        <v>-6.1870740466812603E-2</v>
      </c>
    </row>
    <row r="11" spans="1:7" x14ac:dyDescent="0.2">
      <c r="A11" t="s">
        <v>15</v>
      </c>
      <c r="B11" t="s">
        <v>23</v>
      </c>
      <c r="C11" s="2">
        <v>8865000000</v>
      </c>
      <c r="D11" s="1">
        <v>324988.41666666599</v>
      </c>
      <c r="E11" s="17">
        <v>0.10392930750877</v>
      </c>
      <c r="F11" s="50">
        <v>27277.895289088501</v>
      </c>
      <c r="G11" s="17">
        <v>5.4689455704629499E-2</v>
      </c>
    </row>
    <row r="12" spans="1:7" x14ac:dyDescent="0.2">
      <c r="A12" t="s">
        <v>15</v>
      </c>
      <c r="B12" t="s">
        <v>69</v>
      </c>
      <c r="C12" s="2">
        <v>9728000000</v>
      </c>
      <c r="D12" s="1">
        <v>363780</v>
      </c>
      <c r="E12" s="17">
        <v>0.11936297216746899</v>
      </c>
      <c r="F12" s="50">
        <v>26741.4371323327</v>
      </c>
      <c r="G12" s="17">
        <v>-1.9666405749800199E-2</v>
      </c>
    </row>
    <row r="13" spans="1:7" s="28" customFormat="1" x14ac:dyDescent="0.2">
      <c r="A13" s="28" t="s">
        <v>16</v>
      </c>
      <c r="B13" s="28" t="str" cm="1">
        <f t="array" ref="B13">CONCATENATE("FY",RIGHT(INDEX(Table1[],ROWS(Table1[]),2),2)+1)</f>
        <v>FY26</v>
      </c>
      <c r="C13" s="29">
        <f>D13*F13</f>
        <v>10495013109.759989</v>
      </c>
      <c r="D13" s="30" cm="1">
        <f t="array" ref="D13">(1+Graph!$P$20)*INDEX(Table1[],ROWS(Table1[]),4)</f>
        <v>391718.304</v>
      </c>
      <c r="E13" s="29"/>
      <c r="F13" s="29" cm="1">
        <f t="array" ref="F13">(1+Graph!$R$20)*INDEX(Table1[],ROWS(Table1[]),6)</f>
        <v>26792.24586288413</v>
      </c>
    </row>
    <row r="14" spans="1:7" s="28" customFormat="1" x14ac:dyDescent="0.2">
      <c r="A14" s="28" t="s">
        <v>16</v>
      </c>
      <c r="B14" s="28" t="str">
        <f>CONCATENATE("FY",RIGHT(B13,2)+1)</f>
        <v>FY27</v>
      </c>
      <c r="C14" s="29">
        <f>D14*F14</f>
        <v>11322502073.811075</v>
      </c>
      <c r="D14" s="30">
        <f>(1+Graph!$P$20)*D13</f>
        <v>421802.26974720001</v>
      </c>
      <c r="E14" s="29"/>
      <c r="F14" s="29">
        <f>(1+Graph!$R$20)*F13</f>
        <v>26843.151130023609</v>
      </c>
    </row>
    <row r="15" spans="1:7" s="28" customFormat="1" x14ac:dyDescent="0.2">
      <c r="A15" s="28" t="s">
        <v>16</v>
      </c>
      <c r="B15" s="28" t="str">
        <f t="shared" ref="B15:B17" si="0">CONCATENATE("FY",RIGHT(B14,2)+1)</f>
        <v>FY28</v>
      </c>
      <c r="C15" s="29">
        <f>D15*F15</f>
        <v>12215235166.522617</v>
      </c>
      <c r="D15" s="30">
        <f>(1+Graph!$P$20)*D14</f>
        <v>454196.68406378495</v>
      </c>
      <c r="E15" s="29"/>
      <c r="F15" s="29">
        <f>(1+Graph!$R$20)*F14</f>
        <v>26894.153117170656</v>
      </c>
    </row>
    <row r="16" spans="1:7" s="28" customFormat="1" x14ac:dyDescent="0.2">
      <c r="A16" s="28" t="s">
        <v>16</v>
      </c>
      <c r="B16" s="28" t="str">
        <f t="shared" si="0"/>
        <v>FY29</v>
      </c>
      <c r="C16" s="29">
        <f>D16*F16</f>
        <v>13178356621.243446</v>
      </c>
      <c r="D16" s="30">
        <f>(1+Graph!$P$20)*D15</f>
        <v>489078.98939988361</v>
      </c>
      <c r="E16" s="29"/>
      <c r="F16" s="29">
        <f>(1+Graph!$R$20)*F15</f>
        <v>26945.252008093281</v>
      </c>
    </row>
    <row r="17" spans="1:6" s="28" customFormat="1" x14ac:dyDescent="0.2">
      <c r="A17" s="28" t="s">
        <v>16</v>
      </c>
      <c r="B17" s="28" t="str">
        <f t="shared" si="0"/>
        <v>FY30</v>
      </c>
      <c r="C17" s="29">
        <f>D17*F17</f>
        <v>14217416273.133478</v>
      </c>
      <c r="D17" s="30">
        <f>(1+Graph!$P$20)*D16</f>
        <v>526640.2557857947</v>
      </c>
      <c r="E17" s="29"/>
      <c r="F17" s="29">
        <f>(1+Graph!$R$20)*F16</f>
        <v>26996.447986908657</v>
      </c>
    </row>
  </sheetData>
  <sheetProtection sheet="1" objects="1" scenarios="1"/>
  <sortState xmlns:xlrd2="http://schemas.microsoft.com/office/spreadsheetml/2017/richdata2" ref="B2:G13">
    <sortCondition ref="B2:B13"/>
  </sortState>
  <phoneticPr fontId="12"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Table</vt:lpstr>
      <vt:lpstr>Graph</vt:lpstr>
      <vt:lpstr>projection_data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Michaels, Isaac</cp:lastModifiedBy>
  <dcterms:created xsi:type="dcterms:W3CDTF">2025-01-10T22:13:36Z</dcterms:created>
  <dcterms:modified xsi:type="dcterms:W3CDTF">2026-04-10T06:22:01Z</dcterms:modified>
</cp:coreProperties>
</file>