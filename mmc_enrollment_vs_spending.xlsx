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isaac/Documents/RProjects/s2p_data_analyses/"/>
    </mc:Choice>
  </mc:AlternateContent>
  <xr:revisionPtr revIDLastSave="0" documentId="13_ncr:1_{6C3AD7A0-09F2-074A-ABF4-D8A3AF411366}" xr6:coauthVersionLast="47" xr6:coauthVersionMax="47" xr10:uidLastSave="{00000000-0000-0000-0000-000000000000}"/>
  <bookViews>
    <workbookView xWindow="0" yWindow="0" windowWidth="28800" windowHeight="18000" xr2:uid="{00000000-000D-0000-FFFF-FFFF00000000}"/>
  </bookViews>
  <sheets>
    <sheet name="Table" sheetId="4" r:id="rId1"/>
    <sheet name="Graph" sheetId="3" r:id="rId2"/>
    <sheet name="projection_data" sheetId="1"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C8" i="4"/>
  <c r="D16" i="1" a="1"/>
  <c r="D16" i="1" s="1"/>
  <c r="F16" i="1" a="1"/>
  <c r="F16" i="1" s="1"/>
  <c r="F17" i="1" s="1"/>
  <c r="A28" i="4"/>
  <c r="A27" i="4"/>
  <c r="B16" i="1" a="1"/>
  <c r="B16" i="1" s="1"/>
  <c r="B17" i="1" s="1"/>
  <c r="B18" i="1" s="1"/>
  <c r="D8" i="4" l="1"/>
  <c r="D7" i="4" s="1"/>
  <c r="G8" i="4"/>
  <c r="E8" i="4"/>
  <c r="F8" i="4"/>
  <c r="C16" i="1"/>
  <c r="D17" i="1"/>
  <c r="C17" i="1" s="1"/>
  <c r="B19" i="1"/>
  <c r="B20" i="1" s="1"/>
  <c r="D18" i="1"/>
  <c r="M4" i="4" l="1"/>
  <c r="M5" i="4"/>
  <c r="M6" i="4"/>
  <c r="M8" i="4"/>
  <c r="K8" i="4" s="1"/>
  <c r="M7" i="4"/>
  <c r="F18" i="1"/>
  <c r="F19" i="1" s="1"/>
  <c r="F20" i="1" s="1"/>
  <c r="Q13" i="3"/>
  <c r="Q12" i="3"/>
  <c r="Q11" i="3"/>
  <c r="C7" i="4" l="1"/>
  <c r="F7" i="4" s="1"/>
  <c r="D6" i="4"/>
  <c r="C6" i="4" s="1"/>
  <c r="K7" i="4"/>
  <c r="K6" i="4" s="1"/>
  <c r="L6" i="4" s="1"/>
  <c r="R24" i="3" a="1"/>
  <c r="R24" i="3" s="1"/>
  <c r="D5" i="4" l="1"/>
  <c r="C5" i="4" s="1"/>
  <c r="F5" i="4" s="1"/>
  <c r="G5" i="4" s="1"/>
  <c r="F6" i="4"/>
  <c r="G6" i="4" s="1"/>
  <c r="H6" i="4"/>
  <c r="K5" i="4"/>
  <c r="H7" i="4"/>
  <c r="Q6" i="3"/>
  <c r="D4" i="4" l="1"/>
  <c r="C4" i="4" s="1"/>
  <c r="F4" i="4" s="1"/>
  <c r="G4" i="4" s="1"/>
  <c r="H5" i="4"/>
  <c r="I5" i="4" s="1"/>
  <c r="J5" i="4" s="1"/>
  <c r="I6" i="4"/>
  <c r="J6" i="4" s="1"/>
  <c r="L5" i="4"/>
  <c r="K4" i="4"/>
  <c r="L4" i="4" s="1"/>
  <c r="Q8" i="3"/>
  <c r="Q7" i="3"/>
  <c r="H8" i="4"/>
  <c r="L7" i="4"/>
  <c r="L8" i="4"/>
  <c r="H4" i="4" l="1"/>
  <c r="I4" i="4" s="1"/>
  <c r="J4" i="4" s="1"/>
  <c r="I8" i="4"/>
  <c r="J8" i="4" s="1"/>
  <c r="I7" i="4"/>
  <c r="J7" i="4" s="1"/>
  <c r="C18" i="1"/>
  <c r="P24" i="3" a="1"/>
  <c r="P24" i="3" s="1"/>
  <c r="D19" i="1" l="1"/>
  <c r="D20" i="1" l="1"/>
  <c r="C19" i="1"/>
  <c r="C20" i="1" l="1"/>
  <c r="S24" i="3" s="1" a="1"/>
  <c r="S24" i="3" s="1"/>
  <c r="Q24" i="3" a="1"/>
  <c r="Q24"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<sst xmlns="http://schemas.openxmlformats.org/spreadsheetml/2006/main" count="137" uniqueCount="74">
  <si>
    <t>Fiscal Year</t>
  </si>
  <si>
    <t>Months Reported</t>
  </si>
  <si>
    <t>Enrollee Months</t>
  </si>
  <si>
    <t>Enrollee Months Annual Change</t>
  </si>
  <si>
    <t>State Spending</t>
  </si>
  <si>
    <t>State Spending Annual Change %</t>
  </si>
  <si>
    <t>Average Annual Spending per Enrollee</t>
  </si>
  <si>
    <t>Average Annual Spending per Enrollee Annual Change</t>
  </si>
  <si>
    <t>Average Annual Spending per Enrollee Annual Change %</t>
  </si>
  <si>
    <t>Projections</t>
  </si>
  <si>
    <t>Actuals</t>
  </si>
  <si>
    <t>1 Year</t>
  </si>
  <si>
    <t>3 Year</t>
  </si>
  <si>
    <t>5 Year</t>
  </si>
  <si>
    <t>Average Annual Growth Rates</t>
  </si>
  <si>
    <t>Data  Type</t>
  </si>
  <si>
    <t>Actual</t>
  </si>
  <si>
    <t>Projected</t>
  </si>
  <si>
    <t>Growth Trends</t>
  </si>
  <si>
    <t>Per Capita Spending</t>
  </si>
  <si>
    <t>State Fiscal Year</t>
  </si>
  <si>
    <t>Average Annual Enrollment</t>
  </si>
  <si>
    <t>Enrollee Months % Growth</t>
  </si>
  <si>
    <t>Average Annual Per Capita Spending % Growth</t>
  </si>
  <si>
    <t>FY24</t>
  </si>
  <si>
    <t>FY23</t>
  </si>
  <si>
    <t>FY22</t>
  </si>
  <si>
    <t>FY21</t>
  </si>
  <si>
    <t>FY20</t>
  </si>
  <si>
    <t>FY19</t>
  </si>
  <si>
    <t>FY18</t>
  </si>
  <si>
    <t>FY17</t>
  </si>
  <si>
    <t>FY16</t>
  </si>
  <si>
    <t>FY15</t>
  </si>
  <si>
    <t>FY14</t>
  </si>
  <si>
    <t>FY13</t>
  </si>
  <si>
    <t>FY12</t>
  </si>
  <si>
    <t>Average Annual Enrollment:</t>
  </si>
  <si>
    <t>Average Annual Per Capita Spending:</t>
  </si>
  <si>
    <t>Total Medicaid Managed Care Enrollment</t>
  </si>
  <si>
    <t>State Spending (Millions)</t>
  </si>
  <si>
    <t>State Spending Annual Change (Millions)</t>
  </si>
  <si>
    <t>Average Annual Growth Rates (as of FY24)</t>
  </si>
  <si>
    <t>Medicaid Managed Care Enrollment and Spending</t>
  </si>
  <si>
    <t>Average Annual Enrollment Change %</t>
  </si>
  <si>
    <t>Notes</t>
  </si>
  <si>
    <t>(1) Data sources: Full-year Enrollment 2025 Estimate Represents YTD annualized</t>
  </si>
  <si>
    <t>Definitions</t>
  </si>
  <si>
    <r>
      <rPr>
        <b/>
        <sz val="11"/>
        <color theme="1"/>
        <rFont val="Calibri"/>
        <family val="2"/>
        <scheme val="minor"/>
      </rPr>
      <t xml:space="preserve">State Fiscal Year: </t>
    </r>
    <r>
      <rPr>
        <sz val="11"/>
        <color theme="1"/>
        <rFont val="Calibri"/>
        <family val="2"/>
        <scheme val="minor"/>
      </rPr>
      <t>April through March</t>
    </r>
  </si>
  <si>
    <r>
      <rPr>
        <b/>
        <sz val="11"/>
        <color theme="1"/>
        <rFont val="Calibri"/>
        <family val="2"/>
        <scheme val="minor"/>
      </rPr>
      <t>Enrollee Months:</t>
    </r>
    <r>
      <rPr>
        <sz val="11"/>
        <color theme="1"/>
        <rFont val="Calibri"/>
        <family val="2"/>
        <scheme val="minor"/>
      </rPr>
      <t xml:space="preserve"> The total number of Medicaid enrollee months reported within the fiscal year.</t>
    </r>
  </si>
  <si>
    <r>
      <rPr>
        <b/>
        <sz val="11"/>
        <color theme="1"/>
        <rFont val="Calibri"/>
        <family val="2"/>
        <scheme val="minor"/>
      </rPr>
      <t>Average Annual Enrollment:</t>
    </r>
    <r>
      <rPr>
        <sz val="11"/>
        <color theme="1"/>
        <rFont val="Calibri"/>
        <family val="2"/>
        <scheme val="minor"/>
      </rPr>
      <t xml:space="preserve"> The average number of enrollees per month over the fiscal year, calculated as total enrollee months divided by the number of months reported.</t>
    </r>
  </si>
  <si>
    <r>
      <rPr>
        <b/>
        <sz val="11"/>
        <color theme="1"/>
        <rFont val="Calibri"/>
        <family val="2"/>
        <scheme val="minor"/>
      </rPr>
      <t>Enrollee Months Annual Change:</t>
    </r>
    <r>
      <rPr>
        <sz val="11"/>
        <color theme="1"/>
        <rFont val="Calibri"/>
        <family val="2"/>
        <scheme val="minor"/>
      </rPr>
      <t xml:space="preserve"> The difference in the total number of enrollee months between the current fiscal year and the prior fiscal year.</t>
    </r>
  </si>
  <si>
    <r>
      <rPr>
        <b/>
        <sz val="11"/>
        <color theme="1"/>
        <rFont val="Calibri"/>
        <family val="2"/>
        <scheme val="minor"/>
      </rPr>
      <t>Enrollee Months % Growth:</t>
    </r>
    <r>
      <rPr>
        <sz val="11"/>
        <color theme="1"/>
        <rFont val="Calibri"/>
        <family val="2"/>
        <scheme val="minor"/>
      </rPr>
      <t xml:space="preserve"> The percentage increase or decrease in the total enrollee months compared to the prior fiscal year.</t>
    </r>
  </si>
  <si>
    <r>
      <rPr>
        <b/>
        <sz val="11"/>
        <color theme="1"/>
        <rFont val="Calibri"/>
        <family val="2"/>
        <scheme val="minor"/>
      </rPr>
      <t>Average Annual Spending per Enrollee:</t>
    </r>
    <r>
      <rPr>
        <sz val="11"/>
        <color theme="1"/>
        <rFont val="Calibri"/>
        <family val="2"/>
        <scheme val="minor"/>
      </rPr>
      <t xml:space="preserve"> The average amount of State Medicaid spending per enrollee for the fiscal year.</t>
    </r>
  </si>
  <si>
    <r>
      <rPr>
        <b/>
        <sz val="11"/>
        <color theme="1"/>
        <rFont val="Calibri"/>
        <family val="2"/>
        <scheme val="minor"/>
      </rPr>
      <t>State Spending (Millions):</t>
    </r>
    <r>
      <rPr>
        <sz val="11"/>
        <color theme="1"/>
        <rFont val="Calibri"/>
        <family val="2"/>
        <scheme val="minor"/>
      </rPr>
      <t xml:space="preserve"> The total Medicaid managed care expenditures by the State government, expressed in millions of dollars.</t>
    </r>
  </si>
  <si>
    <r>
      <rPr>
        <b/>
        <sz val="11"/>
        <color theme="1"/>
        <rFont val="Calibri"/>
        <family val="2"/>
        <scheme val="minor"/>
      </rPr>
      <t>State Spending Annual Change (Millions):</t>
    </r>
    <r>
      <rPr>
        <sz val="11"/>
        <color theme="1"/>
        <rFont val="Calibri"/>
        <family val="2"/>
        <scheme val="minor"/>
      </rPr>
      <t xml:space="preserve"> The year-over-year change in State spending on Medicaid managed care, expressed in millions of dollars.</t>
    </r>
  </si>
  <si>
    <r>
      <rPr>
        <b/>
        <sz val="11"/>
        <color theme="1"/>
        <rFont val="Calibri"/>
        <family val="2"/>
        <scheme val="minor"/>
      </rPr>
      <t>Average Annual Spending per Enrollee Annual Change:</t>
    </r>
    <r>
      <rPr>
        <sz val="11"/>
        <color theme="1"/>
        <rFont val="Calibri"/>
        <family val="2"/>
        <scheme val="minor"/>
      </rPr>
      <t xml:space="preserve"> The year-over-year change in the average amount of State spending per enrollee, expressed in dollars.</t>
    </r>
  </si>
  <si>
    <r>
      <rPr>
        <b/>
        <sz val="11"/>
        <color theme="1"/>
        <rFont val="Calibri"/>
        <family val="2"/>
        <scheme val="minor"/>
      </rPr>
      <t>Average Annual Per Capita Spending % Growth:</t>
    </r>
    <r>
      <rPr>
        <sz val="11"/>
        <color theme="1"/>
        <rFont val="Calibri"/>
        <family val="2"/>
        <scheme val="minor"/>
      </rPr>
      <t xml:space="preserve"> The percentage growth in State Medicaid spending per-capita compared to the prior fiscal year.</t>
    </r>
  </si>
  <si>
    <t xml:space="preserve">End of Period Enrollment	</t>
  </si>
  <si>
    <r>
      <rPr>
        <b/>
        <sz val="11"/>
        <color theme="1"/>
        <rFont val="Calibri"/>
        <family val="2"/>
        <scheme val="minor"/>
      </rPr>
      <t>End of Period Enrollment:</t>
    </r>
    <r>
      <rPr>
        <sz val="11"/>
        <color theme="1"/>
        <rFont val="Calibri"/>
        <family val="2"/>
        <scheme val="minor"/>
      </rPr>
      <t xml:space="preserve"> The total number of Medicaid enrollees at the end of the reporting period. For completed fiscal years, this represents the enrollment total on the final day of the year. For partial fiscal years, it reflects the year-to-date (YTD) enrollment total as of the most recent reporting date.</t>
    </r>
  </si>
  <si>
    <t>Calculations</t>
  </si>
  <si>
    <t>Per Capita Spending State Spending</t>
  </si>
  <si>
    <r>
      <rPr>
        <b/>
        <sz val="11"/>
        <color theme="1"/>
        <rFont val="Calibri"/>
        <family val="2"/>
        <scheme val="minor"/>
      </rPr>
      <t>State Spending Annual Change %:</t>
    </r>
    <r>
      <rPr>
        <sz val="11"/>
        <color theme="1"/>
        <rFont val="Calibri"/>
        <family val="2"/>
        <scheme val="minor"/>
      </rPr>
      <t xml:space="preserve"> The percentage change in the State’s share of Medicaid spending compared to the prior fiscal year.</t>
    </r>
  </si>
  <si>
    <t>NA</t>
  </si>
  <si>
    <t>You can forecast projected enrollment and State spending by changing the two inputs below:</t>
  </si>
  <si>
    <t>FY27 (Forecast)</t>
  </si>
  <si>
    <t>FY28 (Forecast)</t>
  </si>
  <si>
    <t>FY29 (Forecast)</t>
  </si>
  <si>
    <t>Per Capita State Spending</t>
  </si>
  <si>
    <t>FY26 (YTD)</t>
  </si>
  <si>
    <t>FY25</t>
  </si>
  <si>
    <t>FY26 (Estimate)(1)(2)</t>
  </si>
  <si>
    <t>FY30 (Forecast)</t>
  </si>
  <si>
    <t>FY27-FY30 Growth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</si>
</sst>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0.0%"/>
    <numFmt numFmtId="165" formatCode="_(* #,##0_);_(* \(#,##0\);_(* &quot;-&quot;??_);_(@_)"/>
    <numFmt numFmtId="166" formatCode="_(&quot;$&quot;* #,##0_);_(&quot;$&quot;* \(#,##0\);_(&quot;$&quot;* &quot;-&quot;??_);_(@_)"/>
    <numFmt numFmtId="167" formatCode="&quot;$&quot;#,##0,,_);[Red]\(&quot;$&quot;#,##0,,\)"/>
  </numFmts>
  <fonts count="17" x14ac:knownFonts="1">
    <font>
      <sz val="11"/>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sz val="18"/>
      <color theme="3"/>
      <name val="Cambria"/>
      <family val="2"/>
      <scheme val="major"/>
    </font>
    <font>
      <b/>
      <sz val="13"/>
      <color theme="3"/>
      <name val="Calibri"/>
      <family val="2"/>
      <scheme val="minor"/>
    </font>
    <font>
      <b/>
      <sz val="11"/>
      <color theme="3"/>
      <name val="Calibri"/>
      <family val="2"/>
      <scheme val="minor"/>
    </font>
    <font>
      <sz val="12"/>
      <color rgb="FF3F3F76"/>
      <name val="Calibri"/>
      <family val="2"/>
      <scheme val="minor"/>
    </font>
    <font>
      <b/>
      <sz val="12"/>
      <color rgb="FF3F3F3F"/>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sz val="11"/>
      <color theme="5" tint="0.59999389629810485"/>
      <name val="Calibri"/>
      <family val="2"/>
      <scheme val="minor"/>
    </font>
    <font>
      <b/>
      <sz val="11"/>
      <color rgb="FF0070C0"/>
      <name val="Calibri"/>
      <family val="2"/>
      <scheme val="minor"/>
    </font>
    <font>
      <b/>
      <sz val="12"/>
      <color rgb="FF0070C0"/>
      <name val="Calibri"/>
      <family val="2"/>
      <scheme val="minor"/>
    </font>
    <font>
      <b/>
      <sz val="13"/>
      <color theme="1"/>
      <name val="Calibri"/>
      <family val="2"/>
      <scheme val="minor"/>
    </font>
  </fonts>
  <fills count="10">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rgb="FFDAEEF3"/>
        <bgColor indexed="64"/>
      </patternFill>
    </fill>
    <fill>
      <patternFill patternType="solid">
        <fgColor rgb="FFEBF1DE"/>
        <bgColor indexed="64"/>
      </patternFill>
    </fill>
    <fill>
      <patternFill patternType="solid">
        <fgColor rgb="FFF2DCDB"/>
        <bgColor indexed="64"/>
      </patternFill>
    </fill>
    <fill>
      <patternFill patternType="solid">
        <fgColor rgb="FFE4DFEC"/>
        <bgColor indexed="64"/>
      </patternFill>
    </fill>
    <fill>
      <patternFill patternType="solid">
        <fgColor theme="7" tint="0.79998168889431442"/>
        <bgColor indexed="65"/>
      </patternFill>
    </fill>
  </fills>
  <borders count="22">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style="thick">
        <color theme="4" tint="0.499984740745262"/>
      </bottom>
      <diagonal/>
    </border>
    <border>
      <left/>
      <right/>
      <top style="medium">
        <color indexed="64"/>
      </top>
      <bottom style="thick">
        <color theme="4" tint="0.499984740745262"/>
      </bottom>
      <diagonal/>
    </border>
    <border>
      <left/>
      <right style="medium">
        <color indexed="64"/>
      </right>
      <top style="medium">
        <color indexed="64"/>
      </top>
      <bottom style="thick">
        <color theme="4" tint="0.499984740745262"/>
      </bottom>
      <diagonal/>
    </border>
    <border>
      <left style="medium">
        <color indexed="64"/>
      </left>
      <right/>
      <top/>
      <bottom/>
      <diagonal/>
    </border>
    <border>
      <left/>
      <right style="medium">
        <color indexed="64"/>
      </right>
      <top/>
      <bottom/>
      <diagonal/>
    </border>
    <border>
      <left style="medium">
        <color indexed="64"/>
      </left>
      <right/>
      <top/>
      <bottom style="medium">
        <color theme="4" tint="0.39997558519241921"/>
      </bottom>
      <diagonal/>
    </border>
    <border>
      <left/>
      <right style="medium">
        <color indexed="64"/>
      </right>
      <top/>
      <bottom style="medium">
        <color theme="4" tint="0.39997558519241921"/>
      </bottom>
      <diagonal/>
    </border>
    <border>
      <left style="medium">
        <color indexed="64"/>
      </left>
      <right/>
      <top/>
      <bottom style="thick">
        <color theme="4" tint="0.499984740745262"/>
      </bottom>
      <diagonal/>
    </border>
    <border>
      <left/>
      <right style="medium">
        <color indexed="64"/>
      </right>
      <top/>
      <bottom style="thick">
        <color theme="4" tint="0.499984740745262"/>
      </bottom>
      <diagonal/>
    </border>
    <border>
      <left style="medium">
        <color indexed="64"/>
      </left>
      <right style="thin">
        <color rgb="FF7F7F7F"/>
      </right>
      <top style="thin">
        <color rgb="FF7F7F7F"/>
      </top>
      <bottom style="thin">
        <color rgb="FF7F7F7F"/>
      </bottom>
      <diagonal/>
    </border>
    <border>
      <left style="medium">
        <color indexed="64"/>
      </left>
      <right style="thin">
        <color rgb="FF3F3F3F"/>
      </right>
      <top style="thin">
        <color rgb="FF3F3F3F"/>
      </top>
      <bottom style="thin">
        <color rgb="FF3F3F3F"/>
      </bottom>
      <diagonal/>
    </border>
    <border>
      <left style="thin">
        <color rgb="FF3F3F3F"/>
      </left>
      <right style="medium">
        <color indexed="64"/>
      </right>
      <top style="thin">
        <color rgb="FF3F3F3F"/>
      </top>
      <bottom style="thin">
        <color rgb="FF3F3F3F"/>
      </bottom>
      <diagonal/>
    </border>
    <border>
      <left style="medium">
        <color indexed="64"/>
      </left>
      <right style="thin">
        <color rgb="FF3F3F3F"/>
      </right>
      <top style="thin">
        <color rgb="FF3F3F3F"/>
      </top>
      <bottom style="medium">
        <color indexed="64"/>
      </bottom>
      <diagonal/>
    </border>
    <border>
      <left style="thin">
        <color rgb="FF3F3F3F"/>
      </left>
      <right style="thin">
        <color rgb="FF3F3F3F"/>
      </right>
      <top style="thin">
        <color rgb="FF3F3F3F"/>
      </top>
      <bottom style="medium">
        <color indexed="64"/>
      </bottom>
      <diagonal/>
    </border>
    <border>
      <left style="thin">
        <color rgb="FF3F3F3F"/>
      </left>
      <right style="medium">
        <color indexed="64"/>
      </right>
      <top style="thin">
        <color rgb="FF3F3F3F"/>
      </top>
      <bottom style="medium">
        <color indexed="64"/>
      </bottom>
      <diagonal/>
    </border>
    <border>
      <left style="thin">
        <color indexed="64"/>
      </left>
      <right style="thin">
        <color indexed="64"/>
      </right>
      <top style="thin">
        <color indexed="64"/>
      </top>
      <bottom style="thin">
        <color indexed="64"/>
      </bottom>
      <diagonal/>
    </border>
    <border>
      <left style="thin">
        <color rgb="FF3F3F3F"/>
      </left>
      <right/>
      <top style="thin">
        <color rgb="FF3F3F3F"/>
      </top>
      <bottom style="medium">
        <color indexed="64"/>
      </bottom>
      <diagonal/>
    </border>
  </borders>
  <cellStyleXfs count="12">
    <xf numFmtId="0" fontId="0" fillId="0" borderId="0"/>
    <xf numFmtId="9" fontId="3" fillId="0" borderId="0" applyFon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6" fillId="0" borderId="0" applyNumberFormat="0" applyFill="0" applyBorder="0" applyAlignment="0" applyProtection="0"/>
    <xf numFmtId="0" fontId="7" fillId="2" borderId="3" applyNumberFormat="0" applyAlignment="0" applyProtection="0"/>
    <xf numFmtId="0" fontId="8" fillId="3" borderId="4" applyNumberFormat="0" applyAlignment="0" applyProtection="0"/>
    <xf numFmtId="0" fontId="9" fillId="0" borderId="0" applyNumberFormat="0" applyFill="0" applyBorder="0" applyAlignment="0" applyProtection="0"/>
    <xf numFmtId="0" fontId="11" fillId="4" borderId="0" applyNumberFormat="0" applyBorder="0" applyAlignment="0" applyProtection="0"/>
    <xf numFmtId="44" fontId="3" fillId="0" borderId="0" applyFont="0" applyFill="0" applyBorder="0" applyAlignment="0" applyProtection="0"/>
    <xf numFmtId="0" fontId="1" fillId="9" borderId="0" applyNumberFormat="0" applyBorder="0" applyAlignment="0" applyProtection="0"/>
  </cellStyleXfs>
  <cellXfs count="71">
    <xf numFmtId="0" fontId="0" fillId="0" borderId="0" xfId="0"/>
    <xf numFmtId="3" fontId="0" fillId="0" borderId="0" xfId="0" applyNumberFormat="1"/>
    <xf numFmtId="10" fontId="0" fillId="0" borderId="0" xfId="0" applyNumberFormat="1"/>
    <xf numFmtId="6" fontId="0" fillId="0" borderId="0" xfId="0" applyNumberFormat="1"/>
    <xf numFmtId="0" fontId="13" fillId="0" borderId="0" xfId="0" applyFont="1"/>
    <xf numFmtId="8" fontId="13" fillId="0" borderId="0" xfId="0" applyNumberFormat="1" applyFont="1"/>
    <xf numFmtId="0" fontId="9" fillId="0" borderId="0" xfId="8" applyBorder="1"/>
    <xf numFmtId="0" fontId="0" fillId="0" borderId="8" xfId="0" applyBorder="1"/>
    <xf numFmtId="0" fontId="0" fillId="0" borderId="9" xfId="0" applyBorder="1"/>
    <xf numFmtId="0" fontId="2" fillId="0" borderId="8" xfId="0" applyFont="1" applyBorder="1"/>
    <xf numFmtId="0" fontId="8" fillId="3" borderId="15" xfId="7" applyBorder="1"/>
    <xf numFmtId="165" fontId="8" fillId="3" borderId="4" xfId="7" applyNumberFormat="1"/>
    <xf numFmtId="0" fontId="8" fillId="3" borderId="17" xfId="7" applyBorder="1"/>
    <xf numFmtId="165" fontId="8" fillId="3" borderId="18" xfId="7" applyNumberFormat="1" applyBorder="1"/>
    <xf numFmtId="0" fontId="0" fillId="0" borderId="0" xfId="0" applyAlignment="1">
      <alignment vertical="center"/>
    </xf>
    <xf numFmtId="164" fontId="15" fillId="2" borderId="3" xfId="6" applyNumberFormat="1" applyFont="1" applyAlignment="1">
      <alignment horizontal="right" wrapText="1"/>
    </xf>
    <xf numFmtId="10" fontId="15" fillId="2" borderId="14" xfId="6" applyNumberFormat="1" applyFont="1" applyBorder="1" applyProtection="1">
      <protection locked="0"/>
    </xf>
    <xf numFmtId="0" fontId="3" fillId="0" borderId="8" xfId="0" applyFont="1" applyBorder="1"/>
    <xf numFmtId="0" fontId="3" fillId="0" borderId="0" xfId="0" applyFont="1"/>
    <xf numFmtId="0" fontId="3" fillId="0" borderId="9" xfId="0" applyFont="1" applyBorder="1"/>
    <xf numFmtId="0" fontId="2" fillId="0" borderId="10" xfId="4" applyFont="1" applyBorder="1"/>
    <xf numFmtId="10" fontId="3" fillId="0" borderId="0" xfId="1" applyNumberFormat="1" applyFont="1" applyBorder="1"/>
    <xf numFmtId="10" fontId="3" fillId="0" borderId="0" xfId="0" applyNumberFormat="1" applyFont="1"/>
    <xf numFmtId="9" fontId="0" fillId="0" borderId="0" xfId="1" applyFont="1"/>
    <xf numFmtId="0" fontId="2" fillId="0" borderId="0" xfId="0" applyFont="1" applyAlignment="1">
      <alignment horizontal="center" vertical="center" wrapText="1"/>
    </xf>
    <xf numFmtId="0" fontId="2" fillId="0" borderId="20" xfId="0" applyFont="1" applyBorder="1" applyAlignment="1">
      <alignment horizontal="center" vertical="center" wrapText="1"/>
    </xf>
    <xf numFmtId="0" fontId="0" fillId="0" borderId="20" xfId="0" applyBorder="1" applyAlignment="1">
      <alignment horizontal="left"/>
    </xf>
    <xf numFmtId="0" fontId="0" fillId="0" borderId="20" xfId="0" applyBorder="1"/>
    <xf numFmtId="3" fontId="0" fillId="0" borderId="20" xfId="0" applyNumberFormat="1" applyBorder="1"/>
    <xf numFmtId="6" fontId="0" fillId="0" borderId="20" xfId="0" applyNumberFormat="1" applyBorder="1"/>
    <xf numFmtId="164" fontId="14" fillId="0" borderId="20" xfId="0" applyNumberFormat="1" applyFont="1" applyBorder="1" applyAlignment="1">
      <alignment horizontal="right" wrapText="1"/>
    </xf>
    <xf numFmtId="164" fontId="0" fillId="0" borderId="20" xfId="0" applyNumberFormat="1" applyBorder="1"/>
    <xf numFmtId="6" fontId="0" fillId="0" borderId="20" xfId="0" applyNumberFormat="1" applyBorder="1" applyAlignment="1">
      <alignment horizontal="right"/>
    </xf>
    <xf numFmtId="0" fontId="6" fillId="0" borderId="2" xfId="4"/>
    <xf numFmtId="167" fontId="0" fillId="0" borderId="20" xfId="0" applyNumberFormat="1" applyBorder="1"/>
    <xf numFmtId="0" fontId="6" fillId="0" borderId="8" xfId="5" applyBorder="1"/>
    <xf numFmtId="0" fontId="2" fillId="0" borderId="10" xfId="4" applyFont="1" applyBorder="1" applyAlignment="1">
      <alignment wrapText="1"/>
    </xf>
    <xf numFmtId="0" fontId="2" fillId="0" borderId="2" xfId="4" applyFont="1" applyAlignment="1">
      <alignment horizontal="right" wrapText="1"/>
    </xf>
    <xf numFmtId="0" fontId="2" fillId="0" borderId="11" xfId="4" applyFont="1" applyBorder="1" applyAlignment="1">
      <alignment horizontal="right" wrapText="1"/>
    </xf>
    <xf numFmtId="166" fontId="1" fillId="9" borderId="16" xfId="11" applyNumberFormat="1" applyBorder="1"/>
    <xf numFmtId="166" fontId="1" fillId="9" borderId="19" xfId="11" applyNumberFormat="1" applyBorder="1"/>
    <xf numFmtId="166" fontId="8" fillId="3" borderId="4" xfId="10" applyNumberFormat="1" applyFont="1" applyFill="1" applyBorder="1"/>
    <xf numFmtId="166" fontId="8" fillId="3" borderId="21" xfId="10" applyNumberFormat="1" applyFont="1" applyFill="1" applyBorder="1"/>
    <xf numFmtId="10" fontId="2" fillId="0" borderId="2" xfId="4" applyNumberFormat="1" applyFont="1"/>
    <xf numFmtId="10" fontId="15" fillId="2" borderId="3" xfId="6" applyNumberFormat="1" applyFont="1" applyProtection="1">
      <protection locked="0"/>
    </xf>
    <xf numFmtId="0" fontId="2" fillId="0" borderId="0" xfId="0" applyFont="1" applyAlignment="1">
      <alignment horizontal="center"/>
    </xf>
    <xf numFmtId="0" fontId="2" fillId="0" borderId="0" xfId="0" applyFont="1" applyAlignment="1">
      <alignment horizontal="center" wrapText="1"/>
    </xf>
    <xf numFmtId="3" fontId="0" fillId="0" borderId="20" xfId="0" applyNumberFormat="1" applyBorder="1" applyAlignment="1">
      <alignment horizontal="right"/>
    </xf>
    <xf numFmtId="164" fontId="0" fillId="0" borderId="20" xfId="0" applyNumberFormat="1" applyBorder="1" applyAlignment="1">
      <alignment horizontal="right"/>
    </xf>
    <xf numFmtId="167" fontId="0" fillId="0" borderId="20" xfId="0" applyNumberFormat="1" applyBorder="1" applyAlignment="1">
      <alignment horizontal="right"/>
    </xf>
    <xf numFmtId="0" fontId="0" fillId="0" borderId="0" xfId="1" applyNumberFormat="1" applyFont="1"/>
    <xf numFmtId="0" fontId="10" fillId="5" borderId="0" xfId="9" applyFont="1" applyFill="1" applyAlignment="1">
      <alignment horizontal="center" vertical="center"/>
    </xf>
    <xf numFmtId="0" fontId="10" fillId="6" borderId="0" xfId="0" applyFont="1" applyFill="1" applyAlignment="1">
      <alignment horizontal="center" vertical="center"/>
    </xf>
    <xf numFmtId="0" fontId="10" fillId="7" borderId="0" xfId="0" applyFont="1" applyFill="1" applyAlignment="1">
      <alignment horizontal="center" vertical="center"/>
    </xf>
    <xf numFmtId="0" fontId="10" fillId="8" borderId="0" xfId="0" applyFont="1" applyFill="1" applyAlignment="1">
      <alignment horizontal="center" vertical="center"/>
    </xf>
    <xf numFmtId="0" fontId="4" fillId="0" borderId="0" xfId="2" applyAlignment="1">
      <alignment horizontal="center"/>
    </xf>
    <xf numFmtId="0" fontId="9" fillId="0" borderId="8" xfId="8" applyBorder="1" applyAlignment="1">
      <alignment wrapText="1"/>
    </xf>
    <xf numFmtId="0" fontId="9" fillId="0" borderId="0" xfId="8" applyBorder="1" applyAlignment="1">
      <alignment wrapText="1"/>
    </xf>
    <xf numFmtId="0" fontId="9" fillId="0" borderId="9" xfId="8" applyBorder="1" applyAlignment="1">
      <alignment wrapText="1"/>
    </xf>
    <xf numFmtId="0" fontId="16" fillId="0" borderId="12" xfId="3" applyFont="1" applyBorder="1"/>
    <xf numFmtId="0" fontId="16" fillId="0" borderId="1" xfId="3" applyFont="1"/>
    <xf numFmtId="0" fontId="16" fillId="0" borderId="13" xfId="3" applyFont="1" applyBorder="1"/>
    <xf numFmtId="0" fontId="2" fillId="0" borderId="10" xfId="4" applyFont="1" applyBorder="1"/>
    <xf numFmtId="0" fontId="2" fillId="0" borderId="2" xfId="4" applyFont="1"/>
    <xf numFmtId="0" fontId="2" fillId="0" borderId="11" xfId="4" applyFont="1" applyBorder="1"/>
    <xf numFmtId="0" fontId="16" fillId="0" borderId="5" xfId="3" applyFont="1" applyBorder="1"/>
    <xf numFmtId="0" fontId="16" fillId="0" borderId="6" xfId="3" applyFont="1" applyBorder="1"/>
    <xf numFmtId="0" fontId="16" fillId="0" borderId="7" xfId="3" applyFont="1" applyBorder="1"/>
    <xf numFmtId="0" fontId="2" fillId="0" borderId="8" xfId="5" applyFont="1" applyBorder="1"/>
    <xf numFmtId="0" fontId="2" fillId="0" borderId="0" xfId="5" applyFont="1" applyBorder="1"/>
    <xf numFmtId="0" fontId="2" fillId="0" borderId="9" xfId="5" applyFont="1" applyBorder="1"/>
  </cellXfs>
  <cellStyles count="12">
    <cellStyle name="20% - Accent4" xfId="11" builtinId="42"/>
    <cellStyle name="Accent1" xfId="9" builtinId="29"/>
    <cellStyle name="Currency" xfId="10" builtinId="4"/>
    <cellStyle name="Explanatory Text" xfId="8" builtinId="53"/>
    <cellStyle name="Heading 2" xfId="3" builtinId="17"/>
    <cellStyle name="Heading 3" xfId="4" builtinId="18"/>
    <cellStyle name="Heading 4" xfId="5" builtinId="19"/>
    <cellStyle name="Input" xfId="6" builtinId="20"/>
    <cellStyle name="Normal" xfId="0" builtinId="0"/>
    <cellStyle name="Output" xfId="7" builtinId="21"/>
    <cellStyle name="Percent" xfId="1" builtinId="5"/>
    <cellStyle name="Title" xfId="2" builtinId="15"/>
  </cellStyles>
  <dxfs count="6">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numFmt numFmtId="14" formatCode="0.00%"/>
    </dxf>
    <dxf>
      <numFmt numFmtId="10" formatCode="&quot;$&quot;#,##0_);[Red]\(&quot;$&quot;#,##0\)"/>
    </dxf>
    <dxf>
      <font>
        <b val="0"/>
        <i val="0"/>
        <strike val="0"/>
        <condense val="0"/>
        <extend val="0"/>
        <outline val="0"/>
        <shadow val="0"/>
        <u val="none"/>
        <vertAlign val="baseline"/>
        <sz val="11"/>
        <color theme="1"/>
        <name val="Calibri"/>
        <family val="2"/>
        <scheme val="minor"/>
      </font>
    </dxf>
    <dxf>
      <numFmt numFmtId="3" formatCode="#,##0"/>
    </dxf>
    <dxf>
      <numFmt numFmtId="10" formatCode="&quot;$&quot;#,##0_);[Red]\(&quot;$&quot;#,##0\)"/>
    </dxf>
  </dxfs>
  <tableStyles count="0" defaultTableStyle="TableStyleMedium9" defaultPivotStyle="PivotStyleLight16"/>
  <colors>
    <mruColors>
      <color rgb="FF7F7F7F"/>
      <color rgb="FFB9CDE5"/>
      <color rgb="FFC7D8EA"/>
      <color rgb="FF999999"/>
      <color rgb="FFE4DFEC"/>
      <color rgb="FFF2DCDB"/>
      <color rgb="FFEBF1DE"/>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en-US" sz="1800" b="1"/>
              <a:t>Medicaid Managed Care Enrollment and Spending, by State</a:t>
            </a:r>
            <a:r>
              <a:rPr lang="en-US" sz="1800" b="1" baseline="0"/>
              <a:t> </a:t>
            </a:r>
            <a:r>
              <a:rPr lang="en-US" sz="1800" b="1"/>
              <a:t>Fiscal Year</a:t>
            </a:r>
          </a:p>
          <a:p>
            <a:pPr>
              <a:defRPr/>
            </a:pPr>
            <a:r>
              <a:rPr lang="en-US" b="1"/>
              <a:t>New York State</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7.780608744929611E-2"/>
          <c:y val="0.18118165864194752"/>
          <c:w val="0.85111600751610594"/>
          <c:h val="0.77116722653837555"/>
        </c:manualLayout>
      </c:layout>
      <c:barChart>
        <c:barDir val="col"/>
        <c:grouping val="clustered"/>
        <c:varyColors val="0"/>
        <c:ser>
          <c:idx val="1"/>
          <c:order val="0"/>
          <c:tx>
            <c:v>Enrollment</c:v>
          </c:tx>
          <c:spPr>
            <a:solidFill>
              <a:srgbClr val="B9CDE5">
                <a:alpha val="80000"/>
              </a:srgbClr>
            </a:solidFill>
            <a:ln>
              <a:noFill/>
            </a:ln>
            <a:effectLst/>
          </c:spPr>
          <c:invertIfNegative val="0"/>
          <c:dPt>
            <c:idx val="13"/>
            <c:invertIfNegative val="0"/>
            <c:bubble3D val="0"/>
            <c:spPr>
              <a:solidFill>
                <a:srgbClr val="B9CDE5">
                  <a:alpha val="80000"/>
                </a:srgbClr>
              </a:solidFill>
              <a:ln>
                <a:noFill/>
              </a:ln>
              <a:effectLst/>
            </c:spPr>
            <c:extLst>
              <c:ext xmlns:c16="http://schemas.microsoft.com/office/drawing/2014/chart" uri="{C3380CC4-5D6E-409C-BE32-E72D297353CC}">
                <c16:uniqueId val="{00000031-995D-784E-BC21-BE9172A3D010}"/>
              </c:ext>
            </c:extLst>
          </c:dPt>
          <c:dPt>
            <c:idx val="14"/>
            <c:invertIfNegative val="0"/>
            <c:bubble3D val="0"/>
            <c:spPr>
              <a:solidFill>
                <a:schemeClr val="bg1">
                  <a:lumMod val="50000"/>
                  <a:alpha val="80000"/>
                </a:schemeClr>
              </a:solidFill>
              <a:ln>
                <a:noFill/>
              </a:ln>
              <a:effectLst/>
            </c:spPr>
            <c:extLst>
              <c:ext xmlns:c16="http://schemas.microsoft.com/office/drawing/2014/chart" uri="{C3380CC4-5D6E-409C-BE32-E72D297353CC}">
                <c16:uniqueId val="{00000007-995D-784E-BC21-BE9172A3D010}"/>
              </c:ext>
            </c:extLst>
          </c:dPt>
          <c:dPt>
            <c:idx val="15"/>
            <c:invertIfNegative val="0"/>
            <c:bubble3D val="0"/>
            <c:spPr>
              <a:solidFill>
                <a:schemeClr val="bg1">
                  <a:lumMod val="50000"/>
                  <a:alpha val="80000"/>
                </a:schemeClr>
              </a:solidFill>
              <a:ln>
                <a:noFill/>
              </a:ln>
              <a:effectLst/>
            </c:spPr>
            <c:extLst>
              <c:ext xmlns:c16="http://schemas.microsoft.com/office/drawing/2014/chart" uri="{C3380CC4-5D6E-409C-BE32-E72D297353CC}">
                <c16:uniqueId val="{00000006-995D-784E-BC21-BE9172A3D010}"/>
              </c:ext>
            </c:extLst>
          </c:dPt>
          <c:dPt>
            <c:idx val="16"/>
            <c:invertIfNegative val="0"/>
            <c:bubble3D val="0"/>
            <c:spPr>
              <a:solidFill>
                <a:schemeClr val="bg1">
                  <a:lumMod val="50000"/>
                  <a:alpha val="80000"/>
                </a:schemeClr>
              </a:solidFill>
              <a:ln>
                <a:noFill/>
              </a:ln>
              <a:effectLst/>
            </c:spPr>
            <c:extLst>
              <c:ext xmlns:c16="http://schemas.microsoft.com/office/drawing/2014/chart" uri="{C3380CC4-5D6E-409C-BE32-E72D297353CC}">
                <c16:uniqueId val="{00000005-995D-784E-BC21-BE9172A3D010}"/>
              </c:ext>
            </c:extLst>
          </c:dPt>
          <c:dPt>
            <c:idx val="17"/>
            <c:invertIfNegative val="0"/>
            <c:bubble3D val="0"/>
            <c:spPr>
              <a:solidFill>
                <a:schemeClr val="bg1">
                  <a:lumMod val="50000"/>
                  <a:alpha val="80000"/>
                </a:schemeClr>
              </a:solidFill>
              <a:ln>
                <a:noFill/>
              </a:ln>
              <a:effectLst/>
            </c:spPr>
            <c:extLst>
              <c:ext xmlns:c16="http://schemas.microsoft.com/office/drawing/2014/chart" uri="{C3380CC4-5D6E-409C-BE32-E72D297353CC}">
                <c16:uniqueId val="{00000004-995D-784E-BC21-BE9172A3D010}"/>
              </c:ext>
            </c:extLst>
          </c:dPt>
          <c:dPt>
            <c:idx val="18"/>
            <c:invertIfNegative val="0"/>
            <c:bubble3D val="0"/>
            <c:spPr>
              <a:solidFill>
                <a:srgbClr val="7F7F7F">
                  <a:alpha val="80000"/>
                </a:srgbClr>
              </a:solidFill>
              <a:ln>
                <a:noFill/>
              </a:ln>
              <a:effectLst/>
            </c:spPr>
            <c:extLst>
              <c:ext xmlns:c16="http://schemas.microsoft.com/office/drawing/2014/chart" uri="{C3380CC4-5D6E-409C-BE32-E72D297353CC}">
                <c16:uniqueId val="{00000003-995D-784E-BC21-BE9172A3D010}"/>
              </c:ext>
            </c:extLst>
          </c:dPt>
          <c:cat>
            <c:strRef>
              <c:f>projection_data!$B$2:$B$20</c:f>
              <c:strCache>
                <c:ptCount val="19"/>
                <c:pt idx="0">
                  <c:v>FY12</c:v>
                </c:pt>
                <c:pt idx="1">
                  <c:v>FY13</c:v>
                </c:pt>
                <c:pt idx="2">
                  <c:v>FY14</c:v>
                </c:pt>
                <c:pt idx="3">
                  <c:v>FY15</c:v>
                </c:pt>
                <c:pt idx="4">
                  <c:v>FY16</c:v>
                </c:pt>
                <c:pt idx="5">
                  <c:v>FY17</c:v>
                </c:pt>
                <c:pt idx="6">
                  <c:v>FY18</c:v>
                </c:pt>
                <c:pt idx="7">
                  <c:v>FY19</c:v>
                </c:pt>
                <c:pt idx="8">
                  <c:v>FY20</c:v>
                </c:pt>
                <c:pt idx="9">
                  <c:v>FY21</c:v>
                </c:pt>
                <c:pt idx="10">
                  <c:v>FY22</c:v>
                </c:pt>
                <c:pt idx="11">
                  <c:v>FY23</c:v>
                </c:pt>
                <c:pt idx="12">
                  <c:v>FY24</c:v>
                </c:pt>
                <c:pt idx="13">
                  <c:v>FY25</c:v>
                </c:pt>
                <c:pt idx="14">
                  <c:v>FY26</c:v>
                </c:pt>
                <c:pt idx="15">
                  <c:v>FY27</c:v>
                </c:pt>
                <c:pt idx="16">
                  <c:v>FY28</c:v>
                </c:pt>
                <c:pt idx="17">
                  <c:v>FY29</c:v>
                </c:pt>
                <c:pt idx="18">
                  <c:v>FY30</c:v>
                </c:pt>
              </c:strCache>
            </c:strRef>
          </c:cat>
          <c:val>
            <c:numRef>
              <c:f>projection_data!$D$2:$D$20</c:f>
              <c:numCache>
                <c:formatCode>#,##0</c:formatCode>
                <c:ptCount val="19"/>
                <c:pt idx="0" formatCode="General">
                  <c:v>3479642.41666666</c:v>
                </c:pt>
                <c:pt idx="1">
                  <c:v>3496476.5</c:v>
                </c:pt>
                <c:pt idx="2">
                  <c:v>3491534.75</c:v>
                </c:pt>
                <c:pt idx="3" formatCode="General">
                  <c:v>3978222.16666666</c:v>
                </c:pt>
                <c:pt idx="4" formatCode="General">
                  <c:v>4590300.6666666605</c:v>
                </c:pt>
                <c:pt idx="5" formatCode="General">
                  <c:v>4402274.3333333302</c:v>
                </c:pt>
                <c:pt idx="6">
                  <c:v>4389702.25</c:v>
                </c:pt>
                <c:pt idx="7" formatCode="General">
                  <c:v>4374554.5833333302</c:v>
                </c:pt>
                <c:pt idx="8">
                  <c:v>4254833</c:v>
                </c:pt>
                <c:pt idx="9" formatCode="General">
                  <c:v>4742618.0833333302</c:v>
                </c:pt>
                <c:pt idx="10">
                  <c:v>5204912</c:v>
                </c:pt>
                <c:pt idx="11" formatCode="General">
                  <c:v>5437762.5833333302</c:v>
                </c:pt>
                <c:pt idx="12" formatCode="General">
                  <c:v>5292583.4166666605</c:v>
                </c:pt>
                <c:pt idx="13" formatCode="General">
                  <c:v>4554646.5833333302</c:v>
                </c:pt>
                <c:pt idx="14" formatCode="General">
                  <c:v>4637085.6864916636</c:v>
                </c:pt>
                <c:pt idx="15" formatCode="General">
                  <c:v>4721016.9374171626</c:v>
                </c:pt>
                <c:pt idx="16" formatCode="General">
                  <c:v>4806467.343984413</c:v>
                </c:pt>
                <c:pt idx="17" formatCode="General">
                  <c:v>4893464.4029105306</c:v>
                </c:pt>
                <c:pt idx="18" formatCode="General">
                  <c:v>4982036.1086032111</c:v>
                </c:pt>
              </c:numCache>
            </c:numRef>
          </c:val>
          <c:extLst>
            <c:ext xmlns:c16="http://schemas.microsoft.com/office/drawing/2014/chart" uri="{C3380CC4-5D6E-409C-BE32-E72D297353CC}">
              <c16:uniqueId val="{00000000-995D-784E-BC21-BE9172A3D010}"/>
            </c:ext>
          </c:extLst>
        </c:ser>
        <c:dLbls>
          <c:showLegendKey val="0"/>
          <c:showVal val="0"/>
          <c:showCatName val="0"/>
          <c:showSerName val="0"/>
          <c:showPercent val="0"/>
          <c:showBubbleSize val="0"/>
        </c:dLbls>
        <c:gapWidth val="50"/>
        <c:axId val="916994623"/>
        <c:axId val="971831951"/>
      </c:barChart>
      <c:lineChart>
        <c:grouping val="standard"/>
        <c:varyColors val="0"/>
        <c:ser>
          <c:idx val="5"/>
          <c:order val="1"/>
          <c:tx>
            <c:strRef>
              <c:f>projection_data!$C$1</c:f>
              <c:strCache>
                <c:ptCount val="1"/>
                <c:pt idx="0">
                  <c:v>State Spending</c:v>
                </c:pt>
              </c:strCache>
            </c:strRef>
          </c:tx>
          <c:spPr>
            <a:ln w="19050" cap="rnd">
              <a:solidFill>
                <a:schemeClr val="tx1"/>
              </a:solidFill>
              <a:round/>
            </a:ln>
            <a:effectLst/>
          </c:spPr>
          <c:marker>
            <c:symbol val="circle"/>
            <c:size val="5"/>
            <c:spPr>
              <a:solidFill>
                <a:schemeClr val="tx1"/>
              </a:solidFill>
              <a:ln w="9525">
                <a:solidFill>
                  <a:schemeClr val="tx1"/>
                </a:solidFill>
              </a:ln>
              <a:effectLst/>
            </c:spPr>
          </c:marker>
          <c:dPt>
            <c:idx val="13"/>
            <c:marker>
              <c:symbol val="circle"/>
              <c:size val="5"/>
              <c:spPr>
                <a:solidFill>
                  <a:schemeClr val="tx1"/>
                </a:solidFill>
                <a:ln w="9525">
                  <a:solidFill>
                    <a:schemeClr val="tx1"/>
                  </a:solidFill>
                </a:ln>
                <a:effectLst/>
              </c:spPr>
            </c:marker>
            <c:bubble3D val="0"/>
            <c:spPr>
              <a:ln w="19050" cap="rnd">
                <a:solidFill>
                  <a:schemeClr val="tx1"/>
                </a:solidFill>
                <a:prstDash val="dash"/>
                <a:round/>
              </a:ln>
              <a:effectLst/>
            </c:spPr>
            <c:extLst>
              <c:ext xmlns:c16="http://schemas.microsoft.com/office/drawing/2014/chart" uri="{C3380CC4-5D6E-409C-BE32-E72D297353CC}">
                <c16:uniqueId val="{00000032-995D-784E-BC21-BE9172A3D010}"/>
              </c:ext>
            </c:extLst>
          </c:dPt>
          <c:dPt>
            <c:idx val="14"/>
            <c:marker>
              <c:symbol val="circle"/>
              <c:size val="5"/>
              <c:spPr>
                <a:solidFill>
                  <a:schemeClr val="tx1"/>
                </a:solidFill>
                <a:ln w="9525">
                  <a:solidFill>
                    <a:schemeClr val="tx1"/>
                  </a:solidFill>
                </a:ln>
                <a:effectLst/>
              </c:spPr>
            </c:marker>
            <c:bubble3D val="0"/>
            <c:spPr>
              <a:ln w="19050" cap="rnd">
                <a:solidFill>
                  <a:schemeClr val="tx1"/>
                </a:solidFill>
                <a:prstDash val="dash"/>
                <a:round/>
              </a:ln>
              <a:effectLst/>
            </c:spPr>
            <c:extLst>
              <c:ext xmlns:c16="http://schemas.microsoft.com/office/drawing/2014/chart" uri="{C3380CC4-5D6E-409C-BE32-E72D297353CC}">
                <c16:uniqueId val="{0000000C-995D-784E-BC21-BE9172A3D010}"/>
              </c:ext>
            </c:extLst>
          </c:dPt>
          <c:dPt>
            <c:idx val="15"/>
            <c:marker>
              <c:symbol val="circle"/>
              <c:size val="5"/>
              <c:spPr>
                <a:solidFill>
                  <a:schemeClr val="tx1"/>
                </a:solidFill>
                <a:ln w="9525">
                  <a:solidFill>
                    <a:schemeClr val="tx1"/>
                  </a:solidFill>
                </a:ln>
                <a:effectLst/>
              </c:spPr>
            </c:marker>
            <c:bubble3D val="0"/>
            <c:spPr>
              <a:ln w="19050" cap="rnd">
                <a:solidFill>
                  <a:schemeClr val="tx1"/>
                </a:solidFill>
                <a:prstDash val="dash"/>
                <a:round/>
              </a:ln>
              <a:effectLst/>
            </c:spPr>
            <c:extLst>
              <c:ext xmlns:c16="http://schemas.microsoft.com/office/drawing/2014/chart" uri="{C3380CC4-5D6E-409C-BE32-E72D297353CC}">
                <c16:uniqueId val="{0000000B-995D-784E-BC21-BE9172A3D010}"/>
              </c:ext>
            </c:extLst>
          </c:dPt>
          <c:dPt>
            <c:idx val="16"/>
            <c:marker>
              <c:symbol val="circle"/>
              <c:size val="5"/>
              <c:spPr>
                <a:solidFill>
                  <a:schemeClr val="tx1"/>
                </a:solidFill>
                <a:ln w="9525">
                  <a:solidFill>
                    <a:schemeClr val="tx1"/>
                  </a:solidFill>
                </a:ln>
                <a:effectLst/>
              </c:spPr>
            </c:marker>
            <c:bubble3D val="0"/>
            <c:spPr>
              <a:ln w="19050" cap="rnd">
                <a:solidFill>
                  <a:schemeClr val="tx1"/>
                </a:solidFill>
                <a:prstDash val="dash"/>
                <a:round/>
              </a:ln>
              <a:effectLst/>
            </c:spPr>
            <c:extLst>
              <c:ext xmlns:c16="http://schemas.microsoft.com/office/drawing/2014/chart" uri="{C3380CC4-5D6E-409C-BE32-E72D297353CC}">
                <c16:uniqueId val="{0000000A-995D-784E-BC21-BE9172A3D010}"/>
              </c:ext>
            </c:extLst>
          </c:dPt>
          <c:dPt>
            <c:idx val="17"/>
            <c:marker>
              <c:symbol val="circle"/>
              <c:size val="5"/>
              <c:spPr>
                <a:solidFill>
                  <a:schemeClr val="tx1"/>
                </a:solidFill>
                <a:ln w="9525">
                  <a:solidFill>
                    <a:schemeClr val="tx1"/>
                  </a:solidFill>
                </a:ln>
                <a:effectLst/>
              </c:spPr>
            </c:marker>
            <c:bubble3D val="0"/>
            <c:spPr>
              <a:ln w="19050" cap="rnd">
                <a:solidFill>
                  <a:schemeClr val="tx1"/>
                </a:solidFill>
                <a:prstDash val="dash"/>
                <a:round/>
              </a:ln>
              <a:effectLst/>
            </c:spPr>
            <c:extLst>
              <c:ext xmlns:c16="http://schemas.microsoft.com/office/drawing/2014/chart" uri="{C3380CC4-5D6E-409C-BE32-E72D297353CC}">
                <c16:uniqueId val="{00000009-995D-784E-BC21-BE9172A3D010}"/>
              </c:ext>
            </c:extLst>
          </c:dPt>
          <c:dPt>
            <c:idx val="18"/>
            <c:marker>
              <c:symbol val="circle"/>
              <c:size val="5"/>
              <c:spPr>
                <a:solidFill>
                  <a:schemeClr val="tx1"/>
                </a:solidFill>
                <a:ln w="9525">
                  <a:solidFill>
                    <a:schemeClr val="tx1"/>
                  </a:solidFill>
                </a:ln>
                <a:effectLst/>
              </c:spPr>
            </c:marker>
            <c:bubble3D val="0"/>
            <c:spPr>
              <a:ln w="19050" cap="rnd">
                <a:solidFill>
                  <a:schemeClr val="tx1"/>
                </a:solidFill>
                <a:prstDash val="dash"/>
                <a:round/>
              </a:ln>
              <a:effectLst/>
            </c:spPr>
            <c:extLst>
              <c:ext xmlns:c16="http://schemas.microsoft.com/office/drawing/2014/chart" uri="{C3380CC4-5D6E-409C-BE32-E72D297353CC}">
                <c16:uniqueId val="{00000008-995D-784E-BC21-BE9172A3D010}"/>
              </c:ext>
            </c:extLst>
          </c:dPt>
          <c:cat>
            <c:strRef>
              <c:f>projection_data!$B$2:$B$20</c:f>
              <c:strCache>
                <c:ptCount val="19"/>
                <c:pt idx="0">
                  <c:v>FY12</c:v>
                </c:pt>
                <c:pt idx="1">
                  <c:v>FY13</c:v>
                </c:pt>
                <c:pt idx="2">
                  <c:v>FY14</c:v>
                </c:pt>
                <c:pt idx="3">
                  <c:v>FY15</c:v>
                </c:pt>
                <c:pt idx="4">
                  <c:v>FY16</c:v>
                </c:pt>
                <c:pt idx="5">
                  <c:v>FY17</c:v>
                </c:pt>
                <c:pt idx="6">
                  <c:v>FY18</c:v>
                </c:pt>
                <c:pt idx="7">
                  <c:v>FY19</c:v>
                </c:pt>
                <c:pt idx="8">
                  <c:v>FY20</c:v>
                </c:pt>
                <c:pt idx="9">
                  <c:v>FY21</c:v>
                </c:pt>
                <c:pt idx="10">
                  <c:v>FY22</c:v>
                </c:pt>
                <c:pt idx="11">
                  <c:v>FY23</c:v>
                </c:pt>
                <c:pt idx="12">
                  <c:v>FY24</c:v>
                </c:pt>
                <c:pt idx="13">
                  <c:v>FY25</c:v>
                </c:pt>
                <c:pt idx="14">
                  <c:v>FY26</c:v>
                </c:pt>
                <c:pt idx="15">
                  <c:v>FY27</c:v>
                </c:pt>
                <c:pt idx="16">
                  <c:v>FY28</c:v>
                </c:pt>
                <c:pt idx="17">
                  <c:v>FY29</c:v>
                </c:pt>
                <c:pt idx="18">
                  <c:v>FY30</c:v>
                </c:pt>
              </c:strCache>
            </c:strRef>
          </c:cat>
          <c:val>
            <c:numRef>
              <c:f>projection_data!$C$2:$C$20</c:f>
              <c:numCache>
                <c:formatCode>"$"#,##0_);[Red]\("$"#,##0\)</c:formatCode>
                <c:ptCount val="19"/>
                <c:pt idx="0">
                  <c:v>4051469000</c:v>
                </c:pt>
                <c:pt idx="1">
                  <c:v>9797000000</c:v>
                </c:pt>
                <c:pt idx="2">
                  <c:v>11217000000</c:v>
                </c:pt>
                <c:pt idx="3">
                  <c:v>12667000000</c:v>
                </c:pt>
                <c:pt idx="4">
                  <c:v>12466000000</c:v>
                </c:pt>
                <c:pt idx="5">
                  <c:v>13762000000</c:v>
                </c:pt>
                <c:pt idx="6">
                  <c:v>15962000000</c:v>
                </c:pt>
                <c:pt idx="7">
                  <c:v>16130000000</c:v>
                </c:pt>
                <c:pt idx="8">
                  <c:v>17838000000</c:v>
                </c:pt>
                <c:pt idx="9">
                  <c:v>17686000000</c:v>
                </c:pt>
                <c:pt idx="10">
                  <c:v>19634000000</c:v>
                </c:pt>
                <c:pt idx="11">
                  <c:v>21104000000</c:v>
                </c:pt>
                <c:pt idx="12">
                  <c:v>22013000000</c:v>
                </c:pt>
                <c:pt idx="13">
                  <c:v>20264000000</c:v>
                </c:pt>
                <c:pt idx="14" formatCode="&quot;$&quot;#,##0.00_);[Red]\(&quot;$&quot;#,##0.00\)">
                  <c:v>20925798531.119946</c:v>
                </c:pt>
                <c:pt idx="15" formatCode="&quot;$&quot;#,##0.00_);[Red]\(&quot;$&quot;#,##0.00\)">
                  <c:v>21609210627.962036</c:v>
                </c:pt>
                <c:pt idx="16" formatCode="&quot;$&quot;#,##0.00_);[Red]\(&quot;$&quot;#,##0.00\)">
                  <c:v>22314942164.294842</c:v>
                </c:pt>
                <c:pt idx="17" formatCode="&quot;$&quot;#,##0.00_);[Red]\(&quot;$&quot;#,##0.00\)">
                  <c:v>23043722066.898376</c:v>
                </c:pt>
                <c:pt idx="18" formatCode="&quot;$&quot;#,##0.00_);[Red]\(&quot;$&quot;#,##0.00\)">
                  <c:v>23796303068.44846</c:v>
                </c:pt>
              </c:numCache>
            </c:numRef>
          </c:val>
          <c:smooth val="0"/>
          <c:extLst>
            <c:ext xmlns:c16="http://schemas.microsoft.com/office/drawing/2014/chart" uri="{C3380CC4-5D6E-409C-BE32-E72D297353CC}">
              <c16:uniqueId val="{00000001-995D-784E-BC21-BE9172A3D010}"/>
            </c:ext>
          </c:extLst>
        </c:ser>
        <c:dLbls>
          <c:showLegendKey val="0"/>
          <c:showVal val="0"/>
          <c:showCatName val="0"/>
          <c:showSerName val="0"/>
          <c:showPercent val="0"/>
          <c:showBubbleSize val="0"/>
        </c:dLbls>
        <c:marker val="1"/>
        <c:smooth val="0"/>
        <c:axId val="527732575"/>
        <c:axId val="527564895"/>
      </c:lineChart>
      <c:catAx>
        <c:axId val="91699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971831951"/>
        <c:crosses val="autoZero"/>
        <c:auto val="1"/>
        <c:lblAlgn val="ctr"/>
        <c:lblOffset val="100"/>
        <c:noMultiLvlLbl val="0"/>
      </c:catAx>
      <c:valAx>
        <c:axId val="971831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b="1" i="0" u="none" strike="noStrike" kern="1200" baseline="0">
                    <a:solidFill>
                      <a:sysClr val="windowText" lastClr="000000"/>
                    </a:solidFill>
                  </a:rPr>
                  <a:t>Average Annual Enrollment</a:t>
                </a:r>
              </a:p>
            </c:rich>
          </c:tx>
          <c:layout>
            <c:manualLayout>
              <c:xMode val="edge"/>
              <c:yMode val="edge"/>
              <c:x val="1.2547124791219279E-2"/>
              <c:y val="0.49495866795720306"/>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916994623"/>
        <c:crosses val="autoZero"/>
        <c:crossBetween val="between"/>
        <c:dispUnits>
          <c:builtInUnit val="millions"/>
          <c:dispUnitsLbl>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ispUnitsLbl>
        </c:dispUnits>
      </c:valAx>
      <c:valAx>
        <c:axId val="527564895"/>
        <c:scaling>
          <c:orientation val="minMax"/>
        </c:scaling>
        <c:delete val="0"/>
        <c:axPos val="r"/>
        <c:title>
          <c:tx>
            <c:rich>
              <a:bodyPr rot="5400000" spcFirstLastPara="1" vertOverflow="ellipsis" wrap="square" anchor="ctr" anchorCtr="1"/>
              <a:lstStyle/>
              <a:p>
                <a:pPr>
                  <a:defRPr sz="1400" b="1" i="0" u="none" strike="noStrike" kern="1200" baseline="0">
                    <a:solidFill>
                      <a:sysClr val="windowText" lastClr="000000"/>
                    </a:solidFill>
                    <a:latin typeface="+mn-lt"/>
                    <a:ea typeface="+mn-ea"/>
                    <a:cs typeface="+mn-cs"/>
                  </a:defRPr>
                </a:pPr>
                <a:r>
                  <a:rPr lang="en-US" sz="1400" b="1">
                    <a:solidFill>
                      <a:sysClr val="windowText" lastClr="000000"/>
                    </a:solidFill>
                  </a:rPr>
                  <a:t>State Spending</a:t>
                </a:r>
              </a:p>
            </c:rich>
          </c:tx>
          <c:layout>
            <c:manualLayout>
              <c:xMode val="edge"/>
              <c:yMode val="edge"/>
              <c:x val="0.96991976855165829"/>
              <c:y val="0.51377102571480893"/>
            </c:manualLayout>
          </c:layout>
          <c:overlay val="0"/>
          <c:spPr>
            <a:noFill/>
            <a:ln>
              <a:noFill/>
            </a:ln>
            <a:effectLst/>
          </c:spPr>
          <c:txPr>
            <a:bodyPr rot="5400000" spcFirstLastPara="1" vertOverflow="ellipsis"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quot;$&quot;#,##0_);[Red]\(&quot;$&quot;#,##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27732575"/>
        <c:crosses val="max"/>
        <c:crossBetween val="between"/>
        <c:dispUnits>
          <c:builtInUnit val="billions"/>
          <c:dispUnitsLbl>
            <c:spPr>
              <a:noFill/>
              <a:ln>
                <a:noFill/>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dispUnitsLbl>
        </c:dispUnits>
      </c:valAx>
      <c:catAx>
        <c:axId val="527732575"/>
        <c:scaling>
          <c:orientation val="minMax"/>
        </c:scaling>
        <c:delete val="1"/>
        <c:axPos val="b"/>
        <c:numFmt formatCode="General" sourceLinked="1"/>
        <c:majorTickMark val="out"/>
        <c:minorTickMark val="none"/>
        <c:tickLblPos val="nextTo"/>
        <c:crossAx val="527564895"/>
        <c:crosses val="autoZero"/>
        <c:auto val="1"/>
        <c:lblAlgn val="ctr"/>
        <c:lblOffset val="100"/>
        <c:noMultiLvlLbl val="0"/>
      </c:catAx>
      <c:spPr>
        <a:noFill/>
        <a:ln>
          <a:noFill/>
        </a:ln>
        <a:effectLst/>
      </c:spPr>
    </c:plotArea>
    <c:legend>
      <c:legendPos val="t"/>
      <c:layout>
        <c:manualLayout>
          <c:xMode val="edge"/>
          <c:yMode val="edge"/>
          <c:x val="0.38341252087807215"/>
          <c:y val="9.1835016835016839E-2"/>
          <c:w val="0.22938707945597708"/>
          <c:h val="3.451774967522999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139700</xdr:rowOff>
    </xdr:from>
    <xdr:to>
      <xdr:col>14</xdr:col>
      <xdr:colOff>584200</xdr:colOff>
      <xdr:row>37</xdr:row>
      <xdr:rowOff>165100</xdr:rowOff>
    </xdr:to>
    <xdr:graphicFrame macro="">
      <xdr:nvGraphicFramePr>
        <xdr:cNvPr id="2" name="Chart 1">
          <a:extLst>
            <a:ext uri="{FF2B5EF4-FFF2-40B4-BE49-F238E27FC236}">
              <a16:creationId xmlns:a16="http://schemas.microsoft.com/office/drawing/2014/main" id="{74C51996-2402-5D46-BE5A-C41A5F4BA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298450</xdr:colOff>
      <xdr:row>6</xdr:row>
      <xdr:rowOff>22141</xdr:rowOff>
    </xdr:from>
    <xdr:to>
      <xdr:col>5</xdr:col>
      <xdr:colOff>546100</xdr:colOff>
      <xdr:row>6</xdr:row>
      <xdr:rowOff>108690</xdr:rowOff>
    </xdr:to>
    <xdr:sp macro="" textlink="">
      <xdr:nvSpPr>
        <xdr:cNvPr id="4" name="Rectangle 3">
          <a:extLst>
            <a:ext uri="{FF2B5EF4-FFF2-40B4-BE49-F238E27FC236}">
              <a16:creationId xmlns:a16="http://schemas.microsoft.com/office/drawing/2014/main" id="{CCE3C34B-15C4-482F-7D3E-87C874DCF09C}"/>
            </a:ext>
          </a:extLst>
        </xdr:cNvPr>
        <xdr:cNvSpPr/>
      </xdr:nvSpPr>
      <xdr:spPr>
        <a:xfrm>
          <a:off x="5099050" y="1241341"/>
          <a:ext cx="247650" cy="86549"/>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476635</xdr:colOff>
      <xdr:row>5</xdr:row>
      <xdr:rowOff>114583</xdr:rowOff>
    </xdr:from>
    <xdr:to>
      <xdr:col>7</xdr:col>
      <xdr:colOff>558800</xdr:colOff>
      <xdr:row>6</xdr:row>
      <xdr:rowOff>152400</xdr:rowOff>
    </xdr:to>
    <xdr:sp macro="" textlink="">
      <xdr:nvSpPr>
        <xdr:cNvPr id="5" name="TextBox 4">
          <a:extLst>
            <a:ext uri="{FF2B5EF4-FFF2-40B4-BE49-F238E27FC236}">
              <a16:creationId xmlns:a16="http://schemas.microsoft.com/office/drawing/2014/main" id="{6171976F-425F-B792-837F-ECB8235578D6}"/>
            </a:ext>
          </a:extLst>
        </xdr:cNvPr>
        <xdr:cNvSpPr txBox="1"/>
      </xdr:nvSpPr>
      <xdr:spPr>
        <a:xfrm>
          <a:off x="5277235" y="1143283"/>
          <a:ext cx="1733165" cy="228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t>Projected Enrollment</a:t>
          </a:r>
        </a:p>
      </xdr:txBody>
    </xdr:sp>
    <xdr:clientData/>
  </xdr:twoCellAnchor>
  <xdr:twoCellAnchor>
    <xdr:from>
      <xdr:col>7</xdr:col>
      <xdr:colOff>745311</xdr:colOff>
      <xdr:row>5</xdr:row>
      <xdr:rowOff>102338</xdr:rowOff>
    </xdr:from>
    <xdr:to>
      <xdr:col>9</xdr:col>
      <xdr:colOff>711200</xdr:colOff>
      <xdr:row>7</xdr:row>
      <xdr:rowOff>12700</xdr:rowOff>
    </xdr:to>
    <xdr:sp macro="" textlink="">
      <xdr:nvSpPr>
        <xdr:cNvPr id="6" name="TextBox 5">
          <a:extLst>
            <a:ext uri="{FF2B5EF4-FFF2-40B4-BE49-F238E27FC236}">
              <a16:creationId xmlns:a16="http://schemas.microsoft.com/office/drawing/2014/main" id="{EF4B02EC-3378-5E4B-AD27-CD3CC6005DA9}"/>
            </a:ext>
          </a:extLst>
        </xdr:cNvPr>
        <xdr:cNvSpPr txBox="1"/>
      </xdr:nvSpPr>
      <xdr:spPr>
        <a:xfrm>
          <a:off x="7196911" y="1131038"/>
          <a:ext cx="1616889" cy="291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t>Projected Spending</a:t>
          </a:r>
        </a:p>
      </xdr:txBody>
    </xdr:sp>
    <xdr:clientData/>
  </xdr:twoCellAnchor>
  <xdr:twoCellAnchor>
    <xdr:from>
      <xdr:col>7</xdr:col>
      <xdr:colOff>503052</xdr:colOff>
      <xdr:row>6</xdr:row>
      <xdr:rowOff>30140</xdr:rowOff>
    </xdr:from>
    <xdr:to>
      <xdr:col>7</xdr:col>
      <xdr:colOff>799935</xdr:colOff>
      <xdr:row>6</xdr:row>
      <xdr:rowOff>75859</xdr:rowOff>
    </xdr:to>
    <xdr:grpSp>
      <xdr:nvGrpSpPr>
        <xdr:cNvPr id="15" name="Group 14">
          <a:extLst>
            <a:ext uri="{FF2B5EF4-FFF2-40B4-BE49-F238E27FC236}">
              <a16:creationId xmlns:a16="http://schemas.microsoft.com/office/drawing/2014/main" id="{E670115F-78C6-353B-A076-7ED6A65C3952}"/>
            </a:ext>
          </a:extLst>
        </xdr:cNvPr>
        <xdr:cNvGrpSpPr/>
      </xdr:nvGrpSpPr>
      <xdr:grpSpPr>
        <a:xfrm>
          <a:off x="6954652" y="1249340"/>
          <a:ext cx="296883" cy="45719"/>
          <a:chOff x="6976753" y="1327727"/>
          <a:chExt cx="296883" cy="45719"/>
        </a:xfrm>
      </xdr:grpSpPr>
      <xdr:cxnSp macro="">
        <xdr:nvCxnSpPr>
          <xdr:cNvPr id="8" name="Straight Connector 7">
            <a:extLst>
              <a:ext uri="{FF2B5EF4-FFF2-40B4-BE49-F238E27FC236}">
                <a16:creationId xmlns:a16="http://schemas.microsoft.com/office/drawing/2014/main" id="{BE2C28FE-0647-2CD9-EBC4-7B5C8C1E3FC1}"/>
              </a:ext>
            </a:extLst>
          </xdr:cNvPr>
          <xdr:cNvCxnSpPr/>
        </xdr:nvCxnSpPr>
        <xdr:spPr>
          <a:xfrm>
            <a:off x="6976753" y="1352466"/>
            <a:ext cx="296883" cy="0"/>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14" name="Oval 13">
            <a:extLst>
              <a:ext uri="{FF2B5EF4-FFF2-40B4-BE49-F238E27FC236}">
                <a16:creationId xmlns:a16="http://schemas.microsoft.com/office/drawing/2014/main" id="{C109EB46-FE5D-62E2-1F51-52534FCD9AEC}"/>
              </a:ext>
            </a:extLst>
          </xdr:cNvPr>
          <xdr:cNvSpPr/>
        </xdr:nvSpPr>
        <xdr:spPr>
          <a:xfrm>
            <a:off x="7100454" y="1327727"/>
            <a:ext cx="45719" cy="45719"/>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E7D33D-54A7-E54F-9360-7E4950789BDC}" name="Table1" displayName="Table1" ref="A1:G15" totalsRowShown="0" headerRowDxfId="0">
  <autoFilter ref="A1:G15" xr:uid="{66E7D33D-54A7-E54F-9360-7E4950789BDC}"/>
  <tableColumns count="7">
    <tableColumn id="1" xr3:uid="{CF27716F-5074-3346-8523-72F1900144BD}" name="Data  Type"/>
    <tableColumn id="2" xr3:uid="{C96BD2F9-89B3-A14C-81FC-E3A8DFCC8429}" name="Fiscal Year"/>
    <tableColumn id="3" xr3:uid="{01CACE81-45D7-7446-B728-9B2B83E78B79}" name="State Spending" dataDxfId="5"/>
    <tableColumn id="4" xr3:uid="{06BEE8CE-98D5-CA4D-9416-5950D90F162E}" name="Average Annual Enrollment" dataDxfId="4"/>
    <tableColumn id="5" xr3:uid="{3EADD39B-572C-DC49-936D-3495F631C368}" name="Average Annual Enrollment Change %" dataDxfId="3" dataCellStyle="Percent"/>
    <tableColumn id="6" xr3:uid="{2153D761-E319-9740-9788-8F81F69BBF9E}" name="Average Annual Spending per Enrollee" dataDxfId="2"/>
    <tableColumn id="7" xr3:uid="{009E49B7-E7EF-3B4A-845E-8634520B2845}" name="Average Annual Spending per Enrollee Annual Change %" dataDxfId="1"/>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72258-4AC4-6B47-AC5E-CDE7A2651A1C}">
  <dimension ref="A1:M44"/>
  <sheetViews>
    <sheetView showGridLines="0" tabSelected="1" zoomScaleNormal="100" workbookViewId="0">
      <selection activeCell="G28" sqref="G28"/>
    </sheetView>
  </sheetViews>
  <sheetFormatPr baseColWidth="10" defaultColWidth="8.83203125" defaultRowHeight="15" x14ac:dyDescent="0.2"/>
  <cols>
    <col min="1" max="1" width="17" customWidth="1"/>
    <col min="2" max="2" width="14.83203125" customWidth="1"/>
    <col min="3" max="13" width="19.1640625" customWidth="1"/>
  </cols>
  <sheetData>
    <row r="1" spans="1:13" ht="23" x14ac:dyDescent="0.25">
      <c r="A1" s="55" t="s">
        <v>43</v>
      </c>
      <c r="B1" s="55"/>
      <c r="C1" s="55"/>
      <c r="D1" s="55"/>
      <c r="E1" s="55"/>
      <c r="F1" s="55"/>
      <c r="G1" s="55"/>
      <c r="H1" s="55"/>
      <c r="I1" s="55"/>
      <c r="J1" s="55"/>
      <c r="K1" s="55"/>
      <c r="L1" s="55"/>
      <c r="M1" s="55"/>
    </row>
    <row r="2" spans="1:13" s="14" customFormat="1" ht="42" customHeight="1" x14ac:dyDescent="0.2">
      <c r="C2" s="51" t="s">
        <v>39</v>
      </c>
      <c r="D2" s="51"/>
      <c r="E2" s="51"/>
      <c r="F2" s="52" t="s">
        <v>18</v>
      </c>
      <c r="G2" s="52"/>
      <c r="H2" s="53" t="s">
        <v>4</v>
      </c>
      <c r="I2" s="53"/>
      <c r="J2" s="53"/>
      <c r="K2" s="54" t="s">
        <v>19</v>
      </c>
      <c r="L2" s="54"/>
      <c r="M2" s="54"/>
    </row>
    <row r="3" spans="1:13" s="24" customFormat="1" ht="45" customHeight="1" x14ac:dyDescent="0.2">
      <c r="A3" s="25" t="s">
        <v>20</v>
      </c>
      <c r="B3" s="25" t="s">
        <v>1</v>
      </c>
      <c r="C3" s="25" t="s">
        <v>2</v>
      </c>
      <c r="D3" s="25" t="s">
        <v>21</v>
      </c>
      <c r="E3" s="25" t="s">
        <v>58</v>
      </c>
      <c r="F3" s="25" t="s">
        <v>3</v>
      </c>
      <c r="G3" s="25" t="s">
        <v>22</v>
      </c>
      <c r="H3" s="25" t="s">
        <v>40</v>
      </c>
      <c r="I3" s="25" t="s">
        <v>41</v>
      </c>
      <c r="J3" s="25" t="s">
        <v>5</v>
      </c>
      <c r="K3" s="25" t="s">
        <v>6</v>
      </c>
      <c r="L3" s="25" t="s">
        <v>7</v>
      </c>
      <c r="M3" s="25" t="s">
        <v>23</v>
      </c>
    </row>
    <row r="4" spans="1:13" s="24" customFormat="1" ht="15" customHeight="1" x14ac:dyDescent="0.2">
      <c r="A4" s="26" t="s">
        <v>72</v>
      </c>
      <c r="B4" s="25"/>
      <c r="C4" s="28">
        <f t="shared" ref="C4:C7" si="0">D4*12</f>
        <v>57965641.133994684</v>
      </c>
      <c r="D4" s="28">
        <f>(1+$G$28)*D5</f>
        <v>4830470.0944995573</v>
      </c>
      <c r="E4" s="32" t="s">
        <v>63</v>
      </c>
      <c r="F4" s="28">
        <f>C4-C5</f>
        <v>1030525.5913223624</v>
      </c>
      <c r="G4" s="30">
        <f>F4/C5</f>
        <v>1.8099999999999884E-2</v>
      </c>
      <c r="H4" s="34">
        <f>K4*D4</f>
        <v>23072359940.003639</v>
      </c>
      <c r="I4" s="34">
        <f>H4-H5</f>
        <v>729685602.92017365</v>
      </c>
      <c r="J4" s="31">
        <f>I4/H5</f>
        <v>3.265883000000009E-2</v>
      </c>
      <c r="K4" s="29">
        <f>(1+M4)*K5</f>
        <v>4776.4212361600312</v>
      </c>
      <c r="L4" s="29">
        <f>K4-K5</f>
        <v>67.339863627219529</v>
      </c>
      <c r="M4" s="30">
        <f>$G$30</f>
        <v>1.43E-2</v>
      </c>
    </row>
    <row r="5" spans="1:13" s="24" customFormat="1" ht="15" customHeight="1" x14ac:dyDescent="0.2">
      <c r="A5" s="26" t="s">
        <v>67</v>
      </c>
      <c r="B5" s="25"/>
      <c r="C5" s="28">
        <f t="shared" si="0"/>
        <v>56935115.542672321</v>
      </c>
      <c r="D5" s="28">
        <f>(1+$G$28)*D6</f>
        <v>4744592.9618893601</v>
      </c>
      <c r="E5" s="32" t="s">
        <v>63</v>
      </c>
      <c r="F5" s="28">
        <f>C5-C6</f>
        <v>1012204.6864967793</v>
      </c>
      <c r="G5" s="30">
        <f>F5/C6</f>
        <v>1.8100000000000036E-2</v>
      </c>
      <c r="H5" s="34">
        <f>K5*D5</f>
        <v>22342674337.083466</v>
      </c>
      <c r="I5" s="34">
        <f>H5-H6</f>
        <v>706608593.00469208</v>
      </c>
      <c r="J5" s="31">
        <f>I5/H6</f>
        <v>3.2658829999999993E-2</v>
      </c>
      <c r="K5" s="29">
        <f>(1+M5)*K6</f>
        <v>4709.0813725328117</v>
      </c>
      <c r="L5" s="29">
        <f>K5-K6</f>
        <v>66.390479766557291</v>
      </c>
      <c r="M5" s="30">
        <f>$G$30</f>
        <v>1.43E-2</v>
      </c>
    </row>
    <row r="6" spans="1:13" s="24" customFormat="1" ht="15" customHeight="1" x14ac:dyDescent="0.2">
      <c r="A6" s="26" t="s">
        <v>66</v>
      </c>
      <c r="B6" s="25"/>
      <c r="C6" s="28">
        <f t="shared" si="0"/>
        <v>55922910.856175542</v>
      </c>
      <c r="D6" s="28">
        <f>(1+$G$28)*D7</f>
        <v>4660242.5713479621</v>
      </c>
      <c r="E6" s="32" t="s">
        <v>63</v>
      </c>
      <c r="F6" s="28">
        <f>C6-C7</f>
        <v>994209.494643718</v>
      </c>
      <c r="G6" s="30">
        <f>F6/C7</f>
        <v>1.8099999999999856E-2</v>
      </c>
      <c r="H6" s="34">
        <f>K6*D6</f>
        <v>21636065744.078773</v>
      </c>
      <c r="I6" s="34">
        <f>H6-H7</f>
        <v>684261415.75208282</v>
      </c>
      <c r="J6" s="48">
        <f>I6/H7</f>
        <v>3.2658829999999868E-2</v>
      </c>
      <c r="K6" s="29">
        <f>(1+M6)*K7</f>
        <v>4642.6908927662544</v>
      </c>
      <c r="L6" s="29">
        <f>K6-K7</f>
        <v>65.454480692652396</v>
      </c>
      <c r="M6" s="30">
        <f>$G$30</f>
        <v>1.43E-2</v>
      </c>
    </row>
    <row r="7" spans="1:13" x14ac:dyDescent="0.2">
      <c r="A7" s="26" t="s">
        <v>65</v>
      </c>
      <c r="B7" s="27"/>
      <c r="C7" s="28">
        <f t="shared" si="0"/>
        <v>54928701.361531824</v>
      </c>
      <c r="D7" s="28">
        <f>(1+$G$28)*D8</f>
        <v>4577391.780127652</v>
      </c>
      <c r="E7" s="32" t="s">
        <v>63</v>
      </c>
      <c r="F7" s="28">
        <f>C7-C8</f>
        <v>1680126.0888045505</v>
      </c>
      <c r="G7" s="30">
        <f>G28</f>
        <v>1.8100000000000002E-2</v>
      </c>
      <c r="H7" s="34">
        <f>K7*D7</f>
        <v>20951804328.326691</v>
      </c>
      <c r="I7" s="34">
        <f>H7-H8</f>
        <v>662620989.50152206</v>
      </c>
      <c r="J7" s="48">
        <f>I7/H8</f>
        <v>3.2658829999999923E-2</v>
      </c>
      <c r="K7" s="32">
        <f>(1+M7)*K8</f>
        <v>4577.236412073602</v>
      </c>
      <c r="L7" s="32">
        <f>K7-K8</f>
        <v>64.531677701520493</v>
      </c>
      <c r="M7" s="30">
        <f>$G$30</f>
        <v>1.43E-2</v>
      </c>
    </row>
    <row r="8" spans="1:13" x14ac:dyDescent="0.2">
      <c r="A8" s="26" t="s">
        <v>71</v>
      </c>
      <c r="B8" s="27"/>
      <c r="C8" s="28">
        <f>C9/(B9/12)</f>
        <v>53248575.272727273</v>
      </c>
      <c r="D8" s="28">
        <f>((C8+C10)/2)/12</f>
        <v>4496013.9280303037</v>
      </c>
      <c r="E8" s="28">
        <f>C8/12</f>
        <v>4437381.2727272725</v>
      </c>
      <c r="F8" s="28">
        <f>C8-C10</f>
        <v>-1407183.7272727266</v>
      </c>
      <c r="G8" s="31">
        <f>(C8-C10)/C10</f>
        <v>-2.5746302915173616E-2</v>
      </c>
      <c r="H8" s="34">
        <f>K8*D8</f>
        <v>20289183338.825169</v>
      </c>
      <c r="I8" s="49">
        <f>H8-H10</f>
        <v>25183338.82516861</v>
      </c>
      <c r="J8" s="48">
        <f>I8/H10</f>
        <v>1.2427624765677363E-3</v>
      </c>
      <c r="K8" s="32">
        <f>(1+M8)*K10</f>
        <v>4512.7047343720815</v>
      </c>
      <c r="L8" s="32">
        <f>K8-K10</f>
        <v>63.621884749601122</v>
      </c>
      <c r="M8" s="30">
        <f>$G$30</f>
        <v>1.43E-2</v>
      </c>
    </row>
    <row r="9" spans="1:13" x14ac:dyDescent="0.2">
      <c r="A9" s="26" t="s">
        <v>69</v>
      </c>
      <c r="B9" s="27">
        <v>11</v>
      </c>
      <c r="C9" s="28">
        <v>48811194</v>
      </c>
      <c r="D9" s="28">
        <v>4437381.2727272697</v>
      </c>
      <c r="E9" s="28">
        <v>4442646</v>
      </c>
      <c r="F9" s="32" t="s">
        <v>63</v>
      </c>
      <c r="G9" s="32" t="s">
        <v>63</v>
      </c>
      <c r="H9" s="32" t="s">
        <v>63</v>
      </c>
      <c r="I9" s="49" t="s">
        <v>63</v>
      </c>
      <c r="J9" s="48" t="s">
        <v>63</v>
      </c>
      <c r="K9" s="32" t="s">
        <v>63</v>
      </c>
      <c r="L9" s="32" t="s">
        <v>63</v>
      </c>
      <c r="M9" s="32" t="s">
        <v>63</v>
      </c>
    </row>
    <row r="10" spans="1:13" x14ac:dyDescent="0.2">
      <c r="A10" s="27" t="s">
        <v>70</v>
      </c>
      <c r="B10" s="27">
        <v>12</v>
      </c>
      <c r="C10" s="28">
        <v>54655759</v>
      </c>
      <c r="D10" s="28">
        <v>4554646.5833333302</v>
      </c>
      <c r="E10" s="28">
        <v>4480486</v>
      </c>
      <c r="F10" s="28">
        <v>-8855242</v>
      </c>
      <c r="G10" s="31">
        <v>-0.13942847476140299</v>
      </c>
      <c r="H10" s="34">
        <v>20264000000</v>
      </c>
      <c r="I10" s="49">
        <v>-1749000000</v>
      </c>
      <c r="J10" s="48">
        <v>-7.94530504701767E-2</v>
      </c>
      <c r="K10" s="32">
        <v>4449.0828496224804</v>
      </c>
      <c r="L10" s="32">
        <v>289.86640143582002</v>
      </c>
      <c r="M10" s="31">
        <v>6.9692550278838097E-2</v>
      </c>
    </row>
    <row r="11" spans="1:13" x14ac:dyDescent="0.2">
      <c r="A11" s="27" t="s">
        <v>24</v>
      </c>
      <c r="B11" s="27">
        <v>12</v>
      </c>
      <c r="C11" s="28">
        <v>63511001</v>
      </c>
      <c r="D11" s="28">
        <v>5292583.4166666605</v>
      </c>
      <c r="E11" s="28">
        <v>5080545</v>
      </c>
      <c r="F11" s="28">
        <v>-1742150</v>
      </c>
      <c r="G11" s="31">
        <v>-2.6698327564288801E-2</v>
      </c>
      <c r="H11" s="34">
        <v>22013000000</v>
      </c>
      <c r="I11" s="49">
        <v>909000000</v>
      </c>
      <c r="J11" s="48">
        <v>4.3072403335860501E-2</v>
      </c>
      <c r="K11" s="32">
        <v>4159.2164481866603</v>
      </c>
      <c r="L11" s="32">
        <v>278.20846437298297</v>
      </c>
      <c r="M11" s="31">
        <v>7.1684589553356298E-2</v>
      </c>
    </row>
    <row r="12" spans="1:13" x14ac:dyDescent="0.2">
      <c r="A12" s="27" t="s">
        <v>25</v>
      </c>
      <c r="B12" s="27">
        <v>12</v>
      </c>
      <c r="C12" s="28">
        <v>65253151</v>
      </c>
      <c r="D12" s="28">
        <v>5437762.5833333302</v>
      </c>
      <c r="E12" s="28">
        <v>5494358</v>
      </c>
      <c r="F12" s="28">
        <v>2794207</v>
      </c>
      <c r="G12" s="31">
        <v>4.4736699358862E-2</v>
      </c>
      <c r="H12" s="34">
        <v>21104000000</v>
      </c>
      <c r="I12" s="49">
        <v>1470000000</v>
      </c>
      <c r="J12" s="48">
        <v>7.4870123255577001E-2</v>
      </c>
      <c r="K12" s="32">
        <v>3881.0079838136799</v>
      </c>
      <c r="L12" s="32">
        <v>108.802036815927</v>
      </c>
      <c r="M12" s="31">
        <v>2.8843079711096099E-2</v>
      </c>
    </row>
    <row r="13" spans="1:13" x14ac:dyDescent="0.2">
      <c r="A13" s="27" t="s">
        <v>26</v>
      </c>
      <c r="B13" s="27">
        <v>12</v>
      </c>
      <c r="C13" s="28">
        <v>62458944</v>
      </c>
      <c r="D13" s="28">
        <v>5204912</v>
      </c>
      <c r="E13" s="28">
        <v>5252419</v>
      </c>
      <c r="F13" s="28">
        <v>5547527</v>
      </c>
      <c r="G13" s="31">
        <v>9.7476522153718298E-2</v>
      </c>
      <c r="H13" s="34">
        <v>19634000000</v>
      </c>
      <c r="I13" s="49">
        <v>1948000000</v>
      </c>
      <c r="J13" s="48">
        <v>0.110143616419767</v>
      </c>
      <c r="K13" s="32">
        <v>3772.2059469977498</v>
      </c>
      <c r="L13" s="32">
        <v>43.0420781733364</v>
      </c>
      <c r="M13" s="31">
        <v>1.1542018449005501E-2</v>
      </c>
    </row>
    <row r="14" spans="1:13" x14ac:dyDescent="0.2">
      <c r="A14" s="27" t="s">
        <v>27</v>
      </c>
      <c r="B14" s="27">
        <v>12</v>
      </c>
      <c r="C14" s="28">
        <v>56911417</v>
      </c>
      <c r="D14" s="28">
        <v>4742618.0833333302</v>
      </c>
      <c r="E14" s="28">
        <v>4947832</v>
      </c>
      <c r="F14" s="28">
        <v>5853421</v>
      </c>
      <c r="G14" s="31">
        <v>0.114642591926247</v>
      </c>
      <c r="H14" s="34">
        <v>17686000000</v>
      </c>
      <c r="I14" s="49">
        <v>-152000000</v>
      </c>
      <c r="J14" s="48">
        <v>-8.5211346563515995E-3</v>
      </c>
      <c r="K14" s="32">
        <v>3729.1638688244202</v>
      </c>
      <c r="L14" s="32">
        <v>-463.24509293741397</v>
      </c>
      <c r="M14" s="31">
        <v>-0.110496160360924</v>
      </c>
    </row>
    <row r="15" spans="1:13" x14ac:dyDescent="0.2">
      <c r="A15" s="27" t="s">
        <v>28</v>
      </c>
      <c r="B15" s="27">
        <v>12</v>
      </c>
      <c r="C15" s="28">
        <v>51057996</v>
      </c>
      <c r="D15" s="28">
        <v>4254833</v>
      </c>
      <c r="E15" s="28">
        <v>4206715</v>
      </c>
      <c r="F15" s="28">
        <v>-1436659</v>
      </c>
      <c r="G15" s="31">
        <v>-2.7367719627836299E-2</v>
      </c>
      <c r="H15" s="34">
        <v>17838000000</v>
      </c>
      <c r="I15" s="49">
        <v>1708000000</v>
      </c>
      <c r="J15" s="48">
        <v>0.105889646621202</v>
      </c>
      <c r="K15" s="32">
        <v>4192.4089617618301</v>
      </c>
      <c r="L15" s="32">
        <v>505.176423515799</v>
      </c>
      <c r="M15" s="31">
        <v>0.13700693359472901</v>
      </c>
    </row>
    <row r="16" spans="1:13" x14ac:dyDescent="0.2">
      <c r="A16" s="27" t="s">
        <v>29</v>
      </c>
      <c r="B16" s="27">
        <v>12</v>
      </c>
      <c r="C16" s="28">
        <v>52494655</v>
      </c>
      <c r="D16" s="28">
        <v>4374554.5833333302</v>
      </c>
      <c r="E16" s="28">
        <v>4352116</v>
      </c>
      <c r="F16" s="28">
        <v>-181772</v>
      </c>
      <c r="G16" s="31">
        <v>-3.4507275901609598E-3</v>
      </c>
      <c r="H16" s="34">
        <v>16130000000</v>
      </c>
      <c r="I16" s="49">
        <v>168000000</v>
      </c>
      <c r="J16" s="48">
        <v>1.05249968675604E-2</v>
      </c>
      <c r="K16" s="32">
        <v>3687.2325382460299</v>
      </c>
      <c r="L16" s="32">
        <v>50.995023503436599</v>
      </c>
      <c r="M16" s="31">
        <v>1.40241178681768E-2</v>
      </c>
    </row>
    <row r="17" spans="1:13" x14ac:dyDescent="0.2">
      <c r="A17" s="27" t="s">
        <v>30</v>
      </c>
      <c r="B17" s="27">
        <v>12</v>
      </c>
      <c r="C17" s="28">
        <v>52676427</v>
      </c>
      <c r="D17" s="28">
        <v>4389702.25</v>
      </c>
      <c r="E17" s="28">
        <v>4391939</v>
      </c>
      <c r="F17" s="28">
        <v>-150865</v>
      </c>
      <c r="G17" s="31">
        <v>-2.8558155129359999E-3</v>
      </c>
      <c r="H17" s="34">
        <v>15962000000</v>
      </c>
      <c r="I17" s="49">
        <v>2200000000</v>
      </c>
      <c r="J17" s="48">
        <v>0.15986048539456399</v>
      </c>
      <c r="K17" s="32">
        <v>3636.2375147426001</v>
      </c>
      <c r="L17" s="32">
        <v>510.12611005427999</v>
      </c>
      <c r="M17" s="31">
        <v>0.163182319506985</v>
      </c>
    </row>
    <row r="18" spans="1:13" x14ac:dyDescent="0.2">
      <c r="A18" s="27" t="s">
        <v>31</v>
      </c>
      <c r="B18" s="27">
        <v>12</v>
      </c>
      <c r="C18" s="28">
        <v>52827292</v>
      </c>
      <c r="D18" s="28">
        <v>4402274.3333333302</v>
      </c>
      <c r="E18" s="28">
        <v>4363641</v>
      </c>
      <c r="F18" s="28">
        <v>-2256316</v>
      </c>
      <c r="G18" s="31">
        <v>-4.0961659592087703E-2</v>
      </c>
      <c r="H18" s="34">
        <v>13762000000</v>
      </c>
      <c r="I18" s="49">
        <v>1296000000</v>
      </c>
      <c r="J18" s="48">
        <v>0.103962778758222</v>
      </c>
      <c r="K18" s="32">
        <v>3126.1114046883099</v>
      </c>
      <c r="L18" s="32">
        <v>410.38515814324899</v>
      </c>
      <c r="M18" s="31">
        <v>0.15111433218474701</v>
      </c>
    </row>
    <row r="19" spans="1:13" x14ac:dyDescent="0.2">
      <c r="A19" s="27" t="s">
        <v>32</v>
      </c>
      <c r="B19" s="27">
        <v>12</v>
      </c>
      <c r="C19" s="28">
        <v>55083608</v>
      </c>
      <c r="D19" s="28">
        <v>4590300.6666666605</v>
      </c>
      <c r="E19" s="28">
        <v>4640405</v>
      </c>
      <c r="F19" s="28">
        <v>7344942</v>
      </c>
      <c r="G19" s="31">
        <v>0.15385729462989101</v>
      </c>
      <c r="H19" s="34">
        <v>12466000000</v>
      </c>
      <c r="I19" s="49">
        <v>-201000000</v>
      </c>
      <c r="J19" s="48">
        <v>-1.5868003473592799E-2</v>
      </c>
      <c r="K19" s="32">
        <v>2715.7262465450699</v>
      </c>
      <c r="L19" s="32">
        <v>-468.35937495092998</v>
      </c>
      <c r="M19" s="31">
        <v>-0.147093838114465</v>
      </c>
    </row>
    <row r="20" spans="1:13" x14ac:dyDescent="0.2">
      <c r="A20" s="27" t="s">
        <v>33</v>
      </c>
      <c r="B20" s="27">
        <v>12</v>
      </c>
      <c r="C20" s="28">
        <v>47738666</v>
      </c>
      <c r="D20" s="28">
        <v>3978222.16666666</v>
      </c>
      <c r="E20" s="28">
        <v>4386992</v>
      </c>
      <c r="F20" s="28">
        <v>5840249</v>
      </c>
      <c r="G20" s="31">
        <v>0.139390683901017</v>
      </c>
      <c r="H20" s="34">
        <v>12667000000</v>
      </c>
      <c r="I20" s="49">
        <v>1450000000</v>
      </c>
      <c r="J20" s="48">
        <v>0.12926807524293399</v>
      </c>
      <c r="K20" s="32">
        <v>3184.0856214959999</v>
      </c>
      <c r="L20" s="32">
        <v>-28.541719532181499</v>
      </c>
      <c r="M20" s="31">
        <v>-8.8842297915098199E-3</v>
      </c>
    </row>
    <row r="21" spans="1:13" x14ac:dyDescent="0.2">
      <c r="A21" s="27" t="s">
        <v>34</v>
      </c>
      <c r="B21" s="27">
        <v>12</v>
      </c>
      <c r="C21" s="28">
        <v>41898417</v>
      </c>
      <c r="D21" s="28">
        <v>3491534.75</v>
      </c>
      <c r="E21" s="28">
        <v>3488599</v>
      </c>
      <c r="F21" s="28">
        <v>-59301</v>
      </c>
      <c r="G21" s="31">
        <v>-1.41335141248625E-3</v>
      </c>
      <c r="H21" s="34">
        <v>11217000000</v>
      </c>
      <c r="I21" s="49">
        <v>1420000000</v>
      </c>
      <c r="J21" s="48">
        <v>0.14494232928447401</v>
      </c>
      <c r="K21" s="32">
        <v>3212.6273410281801</v>
      </c>
      <c r="L21" s="32">
        <v>410.66370706696398</v>
      </c>
      <c r="M21" s="31">
        <v>0.146562825473361</v>
      </c>
    </row>
    <row r="22" spans="1:13" x14ac:dyDescent="0.2">
      <c r="A22" s="27" t="s">
        <v>35</v>
      </c>
      <c r="B22" s="27">
        <v>12</v>
      </c>
      <c r="C22" s="28">
        <v>41957718</v>
      </c>
      <c r="D22" s="28">
        <v>3496476.5</v>
      </c>
      <c r="E22" s="28">
        <v>3522128</v>
      </c>
      <c r="F22" s="28">
        <v>202009</v>
      </c>
      <c r="G22" s="31">
        <v>4.8378773786358102E-3</v>
      </c>
      <c r="H22" s="34">
        <v>9797000000</v>
      </c>
      <c r="I22" s="49">
        <v>5745531000</v>
      </c>
      <c r="J22" s="48">
        <v>1.41813524921454</v>
      </c>
      <c r="K22" s="32">
        <v>2801.9636339612098</v>
      </c>
      <c r="L22" s="32">
        <v>1637.62876420724</v>
      </c>
      <c r="M22" s="31">
        <v>1.4064929314993899</v>
      </c>
    </row>
    <row r="23" spans="1:13" x14ac:dyDescent="0.2">
      <c r="A23" s="27" t="s">
        <v>36</v>
      </c>
      <c r="B23" s="27">
        <v>12</v>
      </c>
      <c r="C23" s="28">
        <v>41755709</v>
      </c>
      <c r="D23" s="28">
        <v>3479642.41666666</v>
      </c>
      <c r="E23" s="28">
        <v>3522128</v>
      </c>
      <c r="F23" s="47" t="s">
        <v>63</v>
      </c>
      <c r="G23" s="48" t="s">
        <v>63</v>
      </c>
      <c r="H23" s="34">
        <v>4051469000</v>
      </c>
      <c r="I23" s="49" t="s">
        <v>63</v>
      </c>
      <c r="J23" s="48" t="s">
        <v>63</v>
      </c>
      <c r="K23" s="32">
        <v>1164.33486975397</v>
      </c>
      <c r="L23" s="32" t="s">
        <v>63</v>
      </c>
      <c r="M23" s="32" t="s">
        <v>63</v>
      </c>
    </row>
    <row r="25" spans="1:13" ht="16" thickBot="1" x14ac:dyDescent="0.25">
      <c r="A25" s="33" t="s">
        <v>45</v>
      </c>
      <c r="G25" s="33" t="s">
        <v>73</v>
      </c>
    </row>
    <row r="26" spans="1:13" ht="16" x14ac:dyDescent="0.2">
      <c r="A26" t="s">
        <v>46</v>
      </c>
      <c r="G26" s="6" t="s">
        <v>64</v>
      </c>
    </row>
    <row r="27" spans="1:13" x14ac:dyDescent="0.2">
      <c r="A27" t="str">
        <f>_xlfn.CONCAT("(2) Full-year Enrollment 2026 Estimate Represents YTD annualized. Months in YTD = ",B9,".")</f>
        <v>(2) Full-year Enrollment 2026 Estimate Represents YTD annualized. Months in YTD = 11.</v>
      </c>
      <c r="G27" t="s">
        <v>37</v>
      </c>
    </row>
    <row r="28" spans="1:13" ht="16" x14ac:dyDescent="0.2">
      <c r="A28" t="str">
        <f>_xlfn.CONCAT("(3) FY26 full-year spending estimate is based an assumption of per capita spending growth = ",ROUND(G30*100,2),"%")</f>
        <v>(3) FY26 full-year spending estimate is based an assumption of per capita spending growth = 1.43%</v>
      </c>
      <c r="G28" s="15">
        <v>1.8100000000000002E-2</v>
      </c>
    </row>
    <row r="29" spans="1:13" x14ac:dyDescent="0.2">
      <c r="G29" t="s">
        <v>38</v>
      </c>
    </row>
    <row r="30" spans="1:13" ht="16" x14ac:dyDescent="0.2">
      <c r="G30" s="15">
        <v>1.43E-2</v>
      </c>
    </row>
    <row r="32" spans="1:13" ht="16" thickBot="1" x14ac:dyDescent="0.25">
      <c r="A32" s="33" t="s">
        <v>47</v>
      </c>
    </row>
    <row r="33" spans="1:3" x14ac:dyDescent="0.2">
      <c r="A33" t="s">
        <v>48</v>
      </c>
    </row>
    <row r="34" spans="1:3" ht="16" x14ac:dyDescent="0.2">
      <c r="A34" t="s">
        <v>49</v>
      </c>
      <c r="C34" s="6"/>
    </row>
    <row r="35" spans="1:3" x14ac:dyDescent="0.2">
      <c r="A35" t="s">
        <v>50</v>
      </c>
    </row>
    <row r="36" spans="1:3" x14ac:dyDescent="0.2">
      <c r="A36" t="s">
        <v>59</v>
      </c>
    </row>
    <row r="37" spans="1:3" x14ac:dyDescent="0.2">
      <c r="A37" t="s">
        <v>51</v>
      </c>
    </row>
    <row r="38" spans="1:3" x14ac:dyDescent="0.2">
      <c r="A38" t="s">
        <v>52</v>
      </c>
    </row>
    <row r="39" spans="1:3" x14ac:dyDescent="0.2">
      <c r="A39" t="s">
        <v>54</v>
      </c>
    </row>
    <row r="40" spans="1:3" x14ac:dyDescent="0.2">
      <c r="A40" t="s">
        <v>55</v>
      </c>
    </row>
    <row r="41" spans="1:3" x14ac:dyDescent="0.2">
      <c r="A41" t="s">
        <v>62</v>
      </c>
    </row>
    <row r="42" spans="1:3" x14ac:dyDescent="0.2">
      <c r="A42" t="s">
        <v>53</v>
      </c>
    </row>
    <row r="43" spans="1:3" x14ac:dyDescent="0.2">
      <c r="A43" t="s">
        <v>56</v>
      </c>
    </row>
    <row r="44" spans="1:3" x14ac:dyDescent="0.2">
      <c r="A44" t="s">
        <v>57</v>
      </c>
    </row>
  </sheetData>
  <sortState xmlns:xlrd2="http://schemas.microsoft.com/office/spreadsheetml/2017/richdata2" ref="A7:M23">
    <sortCondition descending="1" ref="A9:A23"/>
  </sortState>
  <mergeCells count="5">
    <mergeCell ref="C2:E2"/>
    <mergeCell ref="F2:G2"/>
    <mergeCell ref="H2:J2"/>
    <mergeCell ref="K2:M2"/>
    <mergeCell ref="A1: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4489-6A8B-8940-A269-14EDFF4979BF}">
  <dimension ref="A1:U45"/>
  <sheetViews>
    <sheetView showGridLines="0" workbookViewId="0">
      <selection activeCell="R20" sqref="R20"/>
    </sheetView>
  </sheetViews>
  <sheetFormatPr baseColWidth="10" defaultColWidth="0" defaultRowHeight="15" zeroHeight="1" x14ac:dyDescent="0.2"/>
  <cols>
    <col min="1" max="1" width="10.83203125" customWidth="1"/>
    <col min="2" max="2" width="12.6640625" bestFit="1" customWidth="1"/>
    <col min="3" max="4" width="10.83203125" customWidth="1"/>
    <col min="5" max="5" width="17.83203125" bestFit="1" customWidth="1"/>
    <col min="6" max="15" width="10.83203125" customWidth="1"/>
    <col min="16" max="16" width="10" customWidth="1"/>
    <col min="17" max="17" width="13" customWidth="1"/>
    <col min="18" max="18" width="11.5" customWidth="1"/>
    <col min="19" max="19" width="17.5" customWidth="1"/>
    <col min="20" max="20" width="10.5" customWidth="1"/>
    <col min="21" max="21" width="0" hidden="1" customWidth="1"/>
    <col min="22" max="16384" width="10.83203125" hidden="1"/>
  </cols>
  <sheetData>
    <row r="1" spans="16:19" ht="16" thickBot="1" x14ac:dyDescent="0.25"/>
    <row r="2" spans="16:19" ht="18" thickBot="1" x14ac:dyDescent="0.25">
      <c r="P2" s="65" t="s">
        <v>10</v>
      </c>
      <c r="Q2" s="66"/>
      <c r="R2" s="66"/>
      <c r="S2" s="67"/>
    </row>
    <row r="3" spans="16:19" ht="16" thickTop="1" x14ac:dyDescent="0.2">
      <c r="P3" s="68" t="s">
        <v>42</v>
      </c>
      <c r="Q3" s="69"/>
      <c r="R3" s="69"/>
      <c r="S3" s="70"/>
    </row>
    <row r="4" spans="16:19" x14ac:dyDescent="0.2">
      <c r="P4" s="17"/>
      <c r="Q4" s="18"/>
      <c r="R4" s="18"/>
      <c r="S4" s="19"/>
    </row>
    <row r="5" spans="16:19" ht="16" thickBot="1" x14ac:dyDescent="0.25">
      <c r="P5" s="62" t="s">
        <v>21</v>
      </c>
      <c r="Q5" s="63"/>
      <c r="R5" s="63"/>
      <c r="S5" s="64"/>
    </row>
    <row r="6" spans="16:19" x14ac:dyDescent="0.2">
      <c r="P6" s="9" t="s">
        <v>11</v>
      </c>
      <c r="Q6" s="21">
        <f>AVERAGE(projection_data!E15)</f>
        <v>-0.13942847476140399</v>
      </c>
      <c r="R6" s="21"/>
      <c r="S6" s="19"/>
    </row>
    <row r="7" spans="16:19" x14ac:dyDescent="0.2">
      <c r="P7" s="9" t="s">
        <v>12</v>
      </c>
      <c r="Q7" s="21">
        <f>AVERAGE(projection_data!E13:E15)</f>
        <v>-4.0463367655610261E-2</v>
      </c>
      <c r="R7" s="21"/>
      <c r="S7" s="19"/>
    </row>
    <row r="8" spans="16:19" x14ac:dyDescent="0.2">
      <c r="P8" s="9" t="s">
        <v>13</v>
      </c>
      <c r="Q8" s="21">
        <f>AVERAGE(projection_data!E11:E15)</f>
        <v>1.8145802222626913E-2</v>
      </c>
      <c r="R8" s="21"/>
      <c r="S8" s="19"/>
    </row>
    <row r="9" spans="16:19" x14ac:dyDescent="0.2">
      <c r="P9" s="17"/>
      <c r="Q9" s="18"/>
      <c r="R9" s="18"/>
      <c r="S9" s="19"/>
    </row>
    <row r="10" spans="16:19" ht="16" thickBot="1" x14ac:dyDescent="0.25">
      <c r="P10" s="62" t="s">
        <v>61</v>
      </c>
      <c r="Q10" s="63"/>
      <c r="R10" s="63"/>
      <c r="S10" s="64"/>
    </row>
    <row r="11" spans="16:19" x14ac:dyDescent="0.2">
      <c r="P11" s="9" t="s">
        <v>11</v>
      </c>
      <c r="Q11" s="22">
        <f>AVERAGE(projection_data!G15)</f>
        <v>6.9692550278838097E-2</v>
      </c>
      <c r="R11" s="22"/>
      <c r="S11" s="19"/>
    </row>
    <row r="12" spans="16:19" x14ac:dyDescent="0.2">
      <c r="P12" s="9" t="s">
        <v>12</v>
      </c>
      <c r="Q12" s="22">
        <f>AVERAGE(projection_data!G13:G15)</f>
        <v>5.6740073181096827E-2</v>
      </c>
      <c r="R12" s="22"/>
      <c r="S12" s="19"/>
    </row>
    <row r="13" spans="16:19" x14ac:dyDescent="0.2">
      <c r="P13" s="9" t="s">
        <v>13</v>
      </c>
      <c r="Q13" s="22">
        <f>AVERAGE(projection_data!G11:G15)</f>
        <v>1.4253215526274402E-2</v>
      </c>
      <c r="R13" s="22"/>
      <c r="S13" s="19"/>
    </row>
    <row r="14" spans="16:19" x14ac:dyDescent="0.2">
      <c r="P14" s="17"/>
      <c r="Q14" s="18"/>
      <c r="R14" s="18"/>
      <c r="S14" s="19"/>
    </row>
    <row r="15" spans="16:19" ht="18" thickBot="1" x14ac:dyDescent="0.25">
      <c r="P15" s="59" t="s">
        <v>9</v>
      </c>
      <c r="Q15" s="60"/>
      <c r="R15" s="60"/>
      <c r="S15" s="61"/>
    </row>
    <row r="16" spans="16:19" ht="15" customHeight="1" thickTop="1" x14ac:dyDescent="0.2">
      <c r="P16" s="35" t="s">
        <v>14</v>
      </c>
      <c r="Q16" s="18"/>
      <c r="R16" s="18"/>
      <c r="S16" s="19"/>
    </row>
    <row r="17" spans="16:19" ht="15" customHeight="1" x14ac:dyDescent="0.2">
      <c r="P17" s="56" t="s">
        <v>64</v>
      </c>
      <c r="Q17" s="57"/>
      <c r="R17" s="57"/>
      <c r="S17" s="58"/>
    </row>
    <row r="18" spans="16:19" ht="15" customHeight="1" x14ac:dyDescent="0.2">
      <c r="P18" s="56"/>
      <c r="Q18" s="57"/>
      <c r="R18" s="57"/>
      <c r="S18" s="58"/>
    </row>
    <row r="19" spans="16:19" ht="15" customHeight="1" thickBot="1" x14ac:dyDescent="0.25">
      <c r="P19" s="20" t="s">
        <v>21</v>
      </c>
      <c r="R19" s="43" t="s">
        <v>68</v>
      </c>
      <c r="S19" s="8"/>
    </row>
    <row r="20" spans="16:19" ht="15" customHeight="1" x14ac:dyDescent="0.2">
      <c r="P20" s="16">
        <v>1.8100000000000002E-2</v>
      </c>
      <c r="Q20" s="6"/>
      <c r="R20" s="44">
        <v>1.43E-2</v>
      </c>
      <c r="S20" s="8"/>
    </row>
    <row r="21" spans="16:19" ht="15" customHeight="1" x14ac:dyDescent="0.2">
      <c r="P21" s="7"/>
      <c r="S21" s="8"/>
    </row>
    <row r="22" spans="16:19" ht="15" customHeight="1" x14ac:dyDescent="0.2">
      <c r="P22" s="35" t="s">
        <v>60</v>
      </c>
      <c r="S22" s="8"/>
    </row>
    <row r="23" spans="16:19" ht="33" customHeight="1" thickBot="1" x14ac:dyDescent="0.25">
      <c r="P23" s="36" t="s">
        <v>20</v>
      </c>
      <c r="Q23" s="37" t="s">
        <v>21</v>
      </c>
      <c r="R23" s="37" t="s">
        <v>19</v>
      </c>
      <c r="S23" s="38" t="s">
        <v>4</v>
      </c>
    </row>
    <row r="24" spans="16:19" ht="15" customHeight="1" x14ac:dyDescent="0.2">
      <c r="P24" s="10" t="str" cm="1">
        <f t="array" ref="P24:P28">projection_data!B16:B20</f>
        <v>FY26</v>
      </c>
      <c r="Q24" s="11" cm="1">
        <f t="array" ref="Q24:Q28">projection_data!D16:D20</f>
        <v>4637085.6864916636</v>
      </c>
      <c r="R24" s="41" cm="1">
        <f t="array" ref="R24:R28">projection_data!F16:F20</f>
        <v>4512.7047343720815</v>
      </c>
      <c r="S24" s="39" cm="1">
        <f t="array" ref="S24:S28">projection_data!C16:C20</f>
        <v>20925798531.119946</v>
      </c>
    </row>
    <row r="25" spans="16:19" ht="15" customHeight="1" x14ac:dyDescent="0.2">
      <c r="P25" s="10" t="str">
        <v>FY27</v>
      </c>
      <c r="Q25" s="11">
        <v>4721016.9374171626</v>
      </c>
      <c r="R25" s="41">
        <v>4577.236412073602</v>
      </c>
      <c r="S25" s="39">
        <v>21609210627.962036</v>
      </c>
    </row>
    <row r="26" spans="16:19" ht="15" customHeight="1" x14ac:dyDescent="0.2">
      <c r="P26" s="10" t="str">
        <v>FY28</v>
      </c>
      <c r="Q26" s="11">
        <v>4806467.343984413</v>
      </c>
      <c r="R26" s="41">
        <v>4642.6908927662544</v>
      </c>
      <c r="S26" s="39">
        <v>22314942164.294842</v>
      </c>
    </row>
    <row r="27" spans="16:19" ht="15" customHeight="1" x14ac:dyDescent="0.2">
      <c r="P27" s="10" t="str">
        <v>FY29</v>
      </c>
      <c r="Q27" s="11">
        <v>4893464.4029105306</v>
      </c>
      <c r="R27" s="41">
        <v>4709.0813725328117</v>
      </c>
      <c r="S27" s="39">
        <v>23043722066.898376</v>
      </c>
    </row>
    <row r="28" spans="16:19" ht="15" customHeight="1" thickBot="1" x14ac:dyDescent="0.25">
      <c r="P28" s="12" t="str">
        <v>FY30</v>
      </c>
      <c r="Q28" s="13">
        <v>4982036.1086032111</v>
      </c>
      <c r="R28" s="42">
        <v>4776.4212361600312</v>
      </c>
      <c r="S28" s="40">
        <v>23796303068.44846</v>
      </c>
    </row>
    <row r="29" spans="16:19" ht="15" customHeight="1" x14ac:dyDescent="0.2"/>
    <row r="30" spans="16:19" x14ac:dyDescent="0.2"/>
    <row r="31" spans="16:19" x14ac:dyDescent="0.2"/>
    <row r="32" spans="16:19"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sheetData>
  <sheetProtection sheet="1" objects="1" scenarios="1"/>
  <mergeCells count="6">
    <mergeCell ref="P17:S18"/>
    <mergeCell ref="P15:S15"/>
    <mergeCell ref="P10:S10"/>
    <mergeCell ref="P2:S2"/>
    <mergeCell ref="P3:S3"/>
    <mergeCell ref="P5:S5"/>
  </mergeCells>
  <phoneticPr fontId="12" type="noConversion"/>
  <pageMargins left="0.7" right="0.7" top="0.75" bottom="0.75" header="0.3" footer="0.3"/>
  <ignoredErrors>
    <ignoredError sqref="Q12:Q13 Q7:Q8"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workbookViewId="0">
      <selection activeCell="D15" sqref="D15"/>
    </sheetView>
  </sheetViews>
  <sheetFormatPr baseColWidth="10" defaultColWidth="8.83203125" defaultRowHeight="15" x14ac:dyDescent="0.2"/>
  <cols>
    <col min="1" max="1" width="11.33203125" customWidth="1"/>
    <col min="2" max="2" width="11.5" customWidth="1"/>
    <col min="3" max="3" width="17.83203125" bestFit="1" customWidth="1"/>
    <col min="4" max="4" width="31" bestFit="1" customWidth="1"/>
    <col min="5" max="5" width="32.33203125" customWidth="1"/>
    <col min="6" max="6" width="33" customWidth="1"/>
    <col min="7" max="7" width="46.5" customWidth="1"/>
  </cols>
  <sheetData>
    <row r="1" spans="1:7" s="45" customFormat="1" ht="16" x14ac:dyDescent="0.2">
      <c r="A1" s="45" t="s">
        <v>15</v>
      </c>
      <c r="B1" s="45" t="s">
        <v>0</v>
      </c>
      <c r="C1" s="45" t="s">
        <v>4</v>
      </c>
      <c r="D1" s="46" t="s">
        <v>21</v>
      </c>
      <c r="E1" s="46" t="s">
        <v>44</v>
      </c>
      <c r="F1" s="45" t="s">
        <v>6</v>
      </c>
      <c r="G1" s="45" t="s">
        <v>8</v>
      </c>
    </row>
    <row r="2" spans="1:7" x14ac:dyDescent="0.2">
      <c r="A2" t="s">
        <v>16</v>
      </c>
      <c r="B2" t="s">
        <v>36</v>
      </c>
      <c r="C2" s="3">
        <v>4051469000</v>
      </c>
      <c r="D2">
        <v>3479642.41666666</v>
      </c>
      <c r="E2" s="1" t="s">
        <v>63</v>
      </c>
      <c r="F2">
        <v>1164.33486975397</v>
      </c>
      <c r="G2" t="s">
        <v>63</v>
      </c>
    </row>
    <row r="3" spans="1:7" x14ac:dyDescent="0.2">
      <c r="A3" t="s">
        <v>16</v>
      </c>
      <c r="B3" t="s">
        <v>35</v>
      </c>
      <c r="C3" s="3">
        <v>9797000000</v>
      </c>
      <c r="D3" s="1">
        <v>3496476.5</v>
      </c>
      <c r="E3" s="23">
        <v>4.8378773786358596E-3</v>
      </c>
      <c r="F3">
        <v>2801.9636339612098</v>
      </c>
      <c r="G3">
        <v>1.4064929314993899</v>
      </c>
    </row>
    <row r="4" spans="1:7" x14ac:dyDescent="0.2">
      <c r="A4" t="s">
        <v>16</v>
      </c>
      <c r="B4" t="s">
        <v>34</v>
      </c>
      <c r="C4" s="3">
        <v>11217000000</v>
      </c>
      <c r="D4" s="1">
        <v>3491534.75</v>
      </c>
      <c r="E4" s="23">
        <v>-1.41335141248625E-3</v>
      </c>
      <c r="F4">
        <v>3212.6273410281801</v>
      </c>
      <c r="G4">
        <v>0.146562825473361</v>
      </c>
    </row>
    <row r="5" spans="1:7" x14ac:dyDescent="0.2">
      <c r="A5" t="s">
        <v>16</v>
      </c>
      <c r="B5" t="s">
        <v>33</v>
      </c>
      <c r="C5" s="3">
        <v>12667000000</v>
      </c>
      <c r="D5">
        <v>3978222.16666666</v>
      </c>
      <c r="E5" s="50">
        <v>0.139390683901017</v>
      </c>
      <c r="F5">
        <v>3184.0856214959999</v>
      </c>
      <c r="G5" s="2">
        <v>-8.8842297915098199E-3</v>
      </c>
    </row>
    <row r="6" spans="1:7" x14ac:dyDescent="0.2">
      <c r="A6" t="s">
        <v>16</v>
      </c>
      <c r="B6" t="s">
        <v>32</v>
      </c>
      <c r="C6" s="3">
        <v>12466000000</v>
      </c>
      <c r="D6">
        <v>4590300.6666666605</v>
      </c>
      <c r="E6" s="50">
        <v>0.15385729462989101</v>
      </c>
      <c r="F6" s="3">
        <v>2715.7262465450699</v>
      </c>
      <c r="G6" s="2">
        <v>-0.147093838114465</v>
      </c>
    </row>
    <row r="7" spans="1:7" x14ac:dyDescent="0.2">
      <c r="A7" t="s">
        <v>16</v>
      </c>
      <c r="B7" t="s">
        <v>31</v>
      </c>
      <c r="C7" s="3">
        <v>13762000000</v>
      </c>
      <c r="D7">
        <v>4402274.3333333302</v>
      </c>
      <c r="E7" s="23">
        <v>-4.09616595920878E-2</v>
      </c>
      <c r="F7">
        <v>3126.1114046883099</v>
      </c>
      <c r="G7">
        <v>0.15111433218474701</v>
      </c>
    </row>
    <row r="8" spans="1:7" x14ac:dyDescent="0.2">
      <c r="A8" t="s">
        <v>16</v>
      </c>
      <c r="B8" t="s">
        <v>30</v>
      </c>
      <c r="C8" s="3">
        <v>15962000000</v>
      </c>
      <c r="D8" s="1">
        <v>4389702.25</v>
      </c>
      <c r="E8" s="23">
        <v>-2.8558155129359301E-3</v>
      </c>
      <c r="F8" s="3">
        <v>3636.2375147426001</v>
      </c>
      <c r="G8">
        <v>0.163182319506985</v>
      </c>
    </row>
    <row r="9" spans="1:7" x14ac:dyDescent="0.2">
      <c r="A9" t="s">
        <v>16</v>
      </c>
      <c r="B9" t="s">
        <v>29</v>
      </c>
      <c r="C9" s="3">
        <v>16130000000</v>
      </c>
      <c r="D9">
        <v>4374554.5833333302</v>
      </c>
      <c r="E9" s="23">
        <v>-3.4507275901610301E-3</v>
      </c>
      <c r="F9">
        <v>3687.2325382460299</v>
      </c>
      <c r="G9" s="2">
        <v>1.40241178681768E-2</v>
      </c>
    </row>
    <row r="10" spans="1:7" x14ac:dyDescent="0.2">
      <c r="A10" t="s">
        <v>16</v>
      </c>
      <c r="B10" t="s">
        <v>28</v>
      </c>
      <c r="C10" s="3">
        <v>17838000000</v>
      </c>
      <c r="D10" s="1">
        <v>4254833</v>
      </c>
      <c r="E10" s="23">
        <v>-2.7367719627836299E-2</v>
      </c>
      <c r="F10">
        <v>4192.4089617618301</v>
      </c>
      <c r="G10">
        <v>0.13700693359472901</v>
      </c>
    </row>
    <row r="11" spans="1:7" x14ac:dyDescent="0.2">
      <c r="A11" t="s">
        <v>16</v>
      </c>
      <c r="B11" t="s">
        <v>27</v>
      </c>
      <c r="C11" s="3">
        <v>17686000000</v>
      </c>
      <c r="D11">
        <v>4742618.0833333302</v>
      </c>
      <c r="E11" s="50">
        <v>0.114642591926247</v>
      </c>
      <c r="F11">
        <v>3729.1638688244202</v>
      </c>
      <c r="G11" s="2">
        <v>-0.110496160360924</v>
      </c>
    </row>
    <row r="12" spans="1:7" x14ac:dyDescent="0.2">
      <c r="A12" t="s">
        <v>16</v>
      </c>
      <c r="B12" t="s">
        <v>26</v>
      </c>
      <c r="C12" s="3">
        <v>19634000000</v>
      </c>
      <c r="D12" s="1">
        <v>5204912</v>
      </c>
      <c r="E12" s="23">
        <v>9.7476522153718298E-2</v>
      </c>
      <c r="F12">
        <v>3772.2059469977498</v>
      </c>
      <c r="G12">
        <v>1.1542018449005501E-2</v>
      </c>
    </row>
    <row r="13" spans="1:7" x14ac:dyDescent="0.2">
      <c r="A13" t="s">
        <v>16</v>
      </c>
      <c r="B13" t="s">
        <v>25</v>
      </c>
      <c r="C13" s="3">
        <v>21104000000</v>
      </c>
      <c r="D13">
        <v>5437762.5833333302</v>
      </c>
      <c r="E13" s="23">
        <v>4.4736699358861903E-2</v>
      </c>
      <c r="F13">
        <v>3881.0079838136799</v>
      </c>
      <c r="G13">
        <v>2.8843079711096099E-2</v>
      </c>
    </row>
    <row r="14" spans="1:7" x14ac:dyDescent="0.2">
      <c r="A14" t="s">
        <v>16</v>
      </c>
      <c r="B14" t="s">
        <v>24</v>
      </c>
      <c r="C14" s="3">
        <v>22013000000</v>
      </c>
      <c r="D14">
        <v>5292583.4166666605</v>
      </c>
      <c r="E14" s="23">
        <v>-2.66983275642887E-2</v>
      </c>
      <c r="F14">
        <v>4159.2164481866603</v>
      </c>
      <c r="G14" s="2">
        <v>7.1684589553356298E-2</v>
      </c>
    </row>
    <row r="15" spans="1:7" x14ac:dyDescent="0.2">
      <c r="A15" t="s">
        <v>16</v>
      </c>
      <c r="B15" t="s">
        <v>70</v>
      </c>
      <c r="C15" s="3">
        <v>20264000000</v>
      </c>
      <c r="D15">
        <v>4554646.5833333302</v>
      </c>
      <c r="E15" s="23">
        <v>-0.13942847476140399</v>
      </c>
      <c r="F15">
        <v>4449.0828496224804</v>
      </c>
      <c r="G15" s="2">
        <v>6.9692550278838097E-2</v>
      </c>
    </row>
    <row r="16" spans="1:7" x14ac:dyDescent="0.2">
      <c r="A16" s="4" t="s">
        <v>17</v>
      </c>
      <c r="B16" s="4" t="str" cm="1">
        <f t="array" ref="B16">CONCATENATE("FY",RIGHT(INDEX(Table1[],ROWS(Table1[]),2),2)+1)</f>
        <v>FY26</v>
      </c>
      <c r="C16" s="5">
        <f>D16*F16</f>
        <v>20925798531.119946</v>
      </c>
      <c r="D16" s="4" cm="1">
        <f t="array" ref="D16">(1+Graph!$P$20)*INDEX(Table1[],ROWS(Table1[]),4)</f>
        <v>4637085.6864916636</v>
      </c>
      <c r="E16" s="23"/>
      <c r="F16" s="5" cm="1">
        <f t="array" ref="F16">(1+Graph!$R$20)*INDEX(Table1[],ROWS(Table1[]),6)</f>
        <v>4512.7047343720815</v>
      </c>
    </row>
    <row r="17" spans="1:6" x14ac:dyDescent="0.2">
      <c r="A17" s="4" t="s">
        <v>17</v>
      </c>
      <c r="B17" s="4" t="str">
        <f>CONCATENATE("FY",RIGHT(B16,2)+1)</f>
        <v>FY27</v>
      </c>
      <c r="C17" s="5">
        <f>D17*F17</f>
        <v>21609210627.962036</v>
      </c>
      <c r="D17" s="4">
        <f>(1+Graph!$P$20)*D16</f>
        <v>4721016.9374171626</v>
      </c>
      <c r="E17" s="23"/>
      <c r="F17" s="5">
        <f>(1+Graph!$R$20)*F16</f>
        <v>4577.236412073602</v>
      </c>
    </row>
    <row r="18" spans="1:6" x14ac:dyDescent="0.2">
      <c r="A18" s="4" t="s">
        <v>17</v>
      </c>
      <c r="B18" s="4" t="str">
        <f>CONCATENATE("FY",RIGHT(B17,2)+1)</f>
        <v>FY28</v>
      </c>
      <c r="C18" s="5">
        <f>D18*F18</f>
        <v>22314942164.294842</v>
      </c>
      <c r="D18" s="4">
        <f>(1+Graph!$P$20)*D17</f>
        <v>4806467.343984413</v>
      </c>
      <c r="E18" s="23"/>
      <c r="F18" s="5">
        <f>(1+Graph!$R$20)*F17</f>
        <v>4642.6908927662544</v>
      </c>
    </row>
    <row r="19" spans="1:6" x14ac:dyDescent="0.2">
      <c r="A19" s="4" t="s">
        <v>17</v>
      </c>
      <c r="B19" s="4" t="str">
        <f t="shared" ref="B19:B20" si="0">CONCATENATE("FY",RIGHT(B18,2)+1)</f>
        <v>FY29</v>
      </c>
      <c r="C19" s="5">
        <f t="shared" ref="C19:C20" si="1">D19*F19</f>
        <v>23043722066.898376</v>
      </c>
      <c r="D19" s="4">
        <f>(1+Graph!$P$20)*D18</f>
        <v>4893464.4029105306</v>
      </c>
      <c r="E19" s="23"/>
      <c r="F19" s="5">
        <f>(1+Graph!$R$20)*F18</f>
        <v>4709.0813725328117</v>
      </c>
    </row>
    <row r="20" spans="1:6" x14ac:dyDescent="0.2">
      <c r="A20" s="4" t="s">
        <v>17</v>
      </c>
      <c r="B20" s="4" t="str">
        <f t="shared" si="0"/>
        <v>FY30</v>
      </c>
      <c r="C20" s="5">
        <f t="shared" si="1"/>
        <v>23796303068.44846</v>
      </c>
      <c r="D20" s="4">
        <f>(1+Graph!$P$20)*D19</f>
        <v>4982036.1086032111</v>
      </c>
      <c r="E20" s="23"/>
      <c r="F20" s="5">
        <f>(1+Graph!$R$20)*F19</f>
        <v>4776.4212361600312</v>
      </c>
    </row>
  </sheetData>
  <sheetProtection sheet="1" objects="1" scenarios="1"/>
  <sortState xmlns:xlrd2="http://schemas.microsoft.com/office/spreadsheetml/2017/richdata2" ref="B2:G15">
    <sortCondition ref="B2:B15"/>
  </sortState>
  <phoneticPr fontId="1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Table</vt:lpstr>
      <vt:lpstr>Graph</vt:lpstr>
      <vt:lpstr>projection_data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Michaels, Isaac</cp:lastModifiedBy>
  <dcterms:created xsi:type="dcterms:W3CDTF">2025-01-10T22:13:36Z</dcterms:created>
  <dcterms:modified xsi:type="dcterms:W3CDTF">2026-04-10T06:19:03Z</dcterms:modified>
</cp:coreProperties>
</file>